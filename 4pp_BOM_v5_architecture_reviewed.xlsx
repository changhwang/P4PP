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_);[Red]\(0\)"/>
  </numFmts>
  <fonts count="9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b val="1"/>
      <sz val="11"/>
    </font>
    <font>
      <name val="맑은 고딕"/>
      <charset val="129"/>
      <family val="2"/>
      <sz val="8"/>
      <scheme val="minor"/>
    </font>
    <font>
      <name val="맑은 고딕"/>
      <color theme="1"/>
      <sz val="11"/>
      <scheme val="minor"/>
    </font>
    <font>
      <name val="맑은 고딕"/>
      <family val="2"/>
      <color rgb="FF333333"/>
      <sz val="12"/>
      <scheme val="minor"/>
    </font>
    <font>
      <name val="Open Sans"/>
      <family val="2"/>
      <color rgb="FF000000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49" fontId="3" fillId="0" borderId="1" applyAlignment="1" pivotButton="0" quotePrefix="0" xfId="0">
      <alignment horizontal="center" vertical="top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5" fillId="0" borderId="0" pivotButton="0" quotePrefix="0" xfId="0"/>
    <xf numFmtId="49" fontId="2" fillId="0" borderId="0" pivotButton="0" quotePrefix="0" xfId="0"/>
    <xf numFmtId="49" fontId="2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49" fontId="7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49" fontId="3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5" fillId="0" borderId="0" pivotButton="0" quotePrefix="0" xfId="0"/>
    <xf numFmtId="164" fontId="0" fillId="0" borderId="0" applyAlignment="1" pivotButton="0" quotePrefix="0" xfId="0">
      <alignment vertical="center"/>
    </xf>
    <xf numFmtId="49" fontId="1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49" fontId="8" fillId="3" borderId="0" applyAlignment="1" pivotButton="0" quotePrefix="0" xfId="0">
      <alignment horizontal="center" vertical="center" wrapText="1"/>
    </xf>
    <xf numFmtId="49" fontId="8" fillId="3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49" fontId="8" fillId="3" borderId="2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49" fontId="5" fillId="0" borderId="0" applyAlignment="1" pivotButton="0" quotePrefix="0" xfId="0">
      <alignment vertical="top"/>
    </xf>
    <xf numFmtId="49" fontId="5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7" min="1" max="1"/>
    <col width="28" customWidth="1" style="17" min="2" max="2"/>
    <col width="60" customWidth="1" style="17" min="3" max="3"/>
    <col width="55" customWidth="1" style="17" min="4" max="4"/>
    <col width="35" customWidth="1" style="17" min="5" max="5"/>
  </cols>
  <sheetData>
    <row r="1">
      <c r="A1" s="18" t="inlineStr">
        <is>
          <t>Block(5)</t>
        </is>
      </c>
      <c r="B1" s="18" t="inlineStr">
        <is>
          <t>목적</t>
        </is>
      </c>
      <c r="C1" s="18" t="inlineStr">
        <is>
          <t>핵심 구성(부품/모듈)</t>
        </is>
      </c>
      <c r="D1" s="18" t="inlineStr">
        <is>
          <t>주요 노드/배선 포인트</t>
        </is>
      </c>
      <c r="E1" s="18" t="inlineStr">
        <is>
          <t>PoC Bring-up 체크</t>
        </is>
      </c>
    </row>
    <row r="2">
      <c r="A2" t="inlineStr">
        <is>
          <t>PC</t>
        </is>
      </c>
      <c r="B2" t="inlineStr">
        <is>
          <t>데이터 로깅/제어 UI. USB로 MCU 전원+통신.</t>
        </is>
      </c>
      <c r="C2" t="inlineStr">
        <is>
          <t>18: Fuse holder, 5x20mm PCB clip (pair) (732-11373-ND)
33: DC barrel jack, 5.5mm OD x 2.5mm ID, PCB right-angle, through-hole (SC1863-ND)</t>
        </is>
      </c>
      <c r="D2" t="inlineStr">
        <is>
          <t>USB 케이블(PC↔Arduino).</t>
        </is>
      </c>
      <c r="E2" t="inlineStr">
        <is>
          <t>Serial 통신 확인(예: 'hello' 프린트).</t>
        </is>
      </c>
    </row>
    <row r="3">
      <c r="A3" t="inlineStr">
        <is>
          <t>MCU</t>
        </is>
      </c>
      <c r="B3" t="inlineStr">
        <is>
          <t>SPI로 ADC 읽기, 릴레이/전류원 제어, 계산(Rs=V/I).</t>
        </is>
      </c>
      <c r="C3" t="inlineStr">
        <is>
          <t>1: Arduino Nano 33 IoT (3.3V) (1050-ABX00027-ND)</t>
        </is>
      </c>
      <c r="D3" t="inlineStr">
        <is>
          <t>SPI: SCK↔CLK, MOSI↔DIN, MISO↔DOUT, CS#, DRDY#. 3V3/GND는 스타에.</t>
        </is>
      </c>
      <c r="E3" t="inlineStr">
        <is>
          <t>ADS1220 ID/레지스터 읽기, DRDY 인터럽트(옵션) 확인.</t>
        </is>
      </c>
    </row>
    <row r="4">
      <c r="A4" t="inlineStr">
        <is>
          <t>Power</t>
        </is>
      </c>
      <c r="B4" t="inlineStr">
        <is>
          <t>12V 공급 및 보호(퓨즈/TVS/벌크). 3V3는 Arduino USB에서.</t>
        </is>
      </c>
      <c r="C4" t="inlineStr">
        <is>
          <t>15: 12V wall adapter, 60W (12V/5A), 2.5mm center-positive (1939-1237-ND)
16: Power Cord (TL868-ND)
17: Fuse, 5x20mm, 500mA slow-blow (0215.500MXEP-ND)
19: Toggle switch SPST, panel mount (2057-SW-T3-1A-A-A3-S1-ND)
20: Power LED, 3mm red through-hole (4491-LED3RED-ND)
34: Inline blade fuse holder (ATC/ATO), splashproof cover, wire leads (F3209-ND)
35: ATC/ATO blade fuse, 5A, 32V (0287005.U-ND)
36: ATC/ATO blade fuse, 3A, 32V (F11061-ND)
37: TVS diode, SMBJ15A, unidirectional, DO-214AA (SMBJ15ALFCT-ND)
38: Bulk electrolytic capacitor, low ESR, 470uF 25V radial (P14418-ND)</t>
        </is>
      </c>
      <c r="D4" t="inlineStr">
        <is>
          <t>12V 입력→(퓨즈)→분기(모터/4PP). TVS는 퓨즈 뒤 12V↔GND 병렬. 470µF는 12V 근처.</t>
        </is>
      </c>
      <c r="E4" t="inlineStr">
        <is>
          <t>무부하 12V 확인→퓨즈 후단 전압 확인→릴레이 코일 구동 시 전압 강하 관찰.</t>
        </is>
      </c>
    </row>
    <row r="5">
      <c r="A5" t="inlineStr">
        <is>
          <t>Current</t>
        </is>
      </c>
      <c r="B5" t="inlineStr">
        <is>
          <t>정전류 인가(예: 1mA/100µA), (옵션) 전류 모니터/전류 반전.</t>
        </is>
      </c>
      <c r="C5" t="inlineStr">
        <is>
          <t>3: Adjustable current source IC (TO-92) (LM334ZNS/NOPB-ND)
4: Rset for 1.0 mA (68.1Ω, 0.1%) (1712-YR1B68R1CCCT-ND)
5: Rset for 100 µA (681Ω, 0.1%) (1712-YR1B681RCCCT-ND)
6: Shunt resistor for current monitor (100Ω, 0.1%) (13-MFP-25BRD52-100RCT-ND)
7: DPDT relay, 12V coil (through-hole) (255-1002-5-ND)
8: NPN transistor (TO-92) (PN2222AFS-ND)
9: Flyback diode for relay coil (1N4148FS-ND)
10: Base resistor (1kΩ, 0.1% optional; 1% OK) (A105942CT-ND)</t>
        </is>
      </c>
      <c r="D5" t="inlineStr">
        <is>
          <t>LM334+Rset로 I 설정. (옵션) 100Ω shunt 직렬 후 전압을 ADC로 읽어 I 계산. DPDT 릴레이로 I 방향 반전(옵션).</t>
        </is>
      </c>
      <c r="E5" t="inlineStr">
        <is>
          <t>더미 저항(예: 1k~10k) 연결 후 shunt 전압으로 실제 전류 확인.</t>
        </is>
      </c>
    </row>
    <row r="6">
      <c r="A6" t="inlineStr">
        <is>
          <t>Voltage</t>
        </is>
      </c>
      <c r="B6" t="inlineStr">
        <is>
          <t>V센스(내측 프로브) 차동 전압을 24-bit ADC로 측정.</t>
        </is>
      </c>
      <c r="C6" t="inlineStr">
        <is>
          <t>2: ADS1220 24-bit ADC breakout (1188-BB-ADS1220-ND)
11: Diode Array 1 Pair Common Anode 30 V 200mA Surface Mount TO-236-3, SC-59, SOT-23-3 (4878-BAT54ACT-ND)
12: Diode Array 1 Pair Common Cathode 30 V 200mA Surface Mount TO-236-3, SC-59, SOT-23-3 (4878-BAT54CTR-ND)
13: SOT23 TO DIP ADAPTER (1568-00717-ND)
14: Series resistors for ADC inputs (1kΩ, 1%) (1.00KXBK-ND)
21: Electrolytic capacitor 10µF 25V radial (through-hole) (P15799CT-ND)
22: Film capacitor 0.1µF 50V radial (through-hole) (399-5453-1-ND)
39: 10 Ohms ±1% 0.25W, 1/4W Through Hole Resistor Axial Metal Film (13-MFR-25FTF52-10RCT-ND)
40: 1 µF ±10% 16V Ceramic Capacitor X7R Radial (445-FK24X7R1C105KN000-ND)
41: 0.1 µF ±10% 50V Ceramic Capacitor X7R Radial (490-9144-1-ND)</t>
        </is>
      </c>
      <c r="D6" t="inlineStr">
        <is>
          <t>IN0=V+, IN1=V-. 각 입력 앞 1k 직렬. BAT54A/C로 레일 클램프. 3V3_A 레일은 10Ω 뒤쪽 + 0.1µF||1µF(3V3_A↔AGND). 실드는 ADC쪽에서만 접지.</t>
        </is>
      </c>
      <c r="E6" t="inlineStr">
        <is>
          <t>입력 쇼트(IN0=IN1) 시 ~0V, 작은 배터리/표준저항으로 mV 레벨 변화 확인.</t>
        </is>
      </c>
    </row>
    <row r="7">
      <c r="A7" t="inlineStr">
        <is>
          <t>Support</t>
        </is>
      </c>
      <c r="B7" t="inlineStr">
        <is>
          <t>배선/커넥터/기구/소모품 등 PoC 완성도 향상.</t>
        </is>
      </c>
      <c r="C7" t="inlineStr">
        <is>
          <t>23: Male header, 1x40, 2.54mm, through-hole (HDR100IMP40M-G-V-TH-ND)
24: Female header, 1x40, 2.54mm, through-hole (HDR100IMP40F-G-V-TH-ND)
25: CONN BIND POST KNURLED BLACK (501-1094-ND)
26: Binding Post Connector Standard Knurled Red Tin (501-1095-ND)
27: Binding Post Connector Standard Knurled Green Tin (501-1506-ND)
28: CONN BIND POST KNURLED BLUE (501-1650-ND)
29: Ferrite clamp (snap-on) for motor cable (1934-1375-ND)
30: shielded wire 22AWG (for V+ / V- lines, optional) (135-94610605000-DS-ND)
31: Desolder braid/wick (for fixing mistakes) (60-5-5-ND)
32: SWITCH SNAP ACTION SPDT 15A 250V (SW1249-ND)
42: 2-pin 0.1" pitch terminal block (optional convenience) (Product ID 2138)
43: Micro-USB cable (Nano 33 IoT to PC) (Product ID 2185)
... +19개</t>
        </is>
      </c>
      <c r="D7" t="inlineStr">
        <is>
          <t>바인딩포스트(패널)→내부 배선→보드. 스트레인 릴리프. Belden 9461은 V+/V-용(실드는 ADC쪽만).</t>
        </is>
      </c>
      <c r="E7" t="inlineStr">
        <is>
          <t>케이블 당김 시 납땜부 스트레스 없는지, 커넥터 핀아웃 라벨링 확인.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tabSelected="1" zoomScaleNormal="100" workbookViewId="0">
      <pane ySplit="1" topLeftCell="A2" activePane="bottomLeft" state="frozen"/>
      <selection pane="bottomLeft" activeCell="M5" sqref="M5"/>
    </sheetView>
  </sheetViews>
  <sheetFormatPr baseColWidth="8" defaultRowHeight="16.5"/>
  <cols>
    <col width="6" customWidth="1" style="4" min="1" max="2"/>
    <col width="22" customWidth="1" style="17" min="2" max="2"/>
    <col width="9" customWidth="1" style="4" min="3" max="3"/>
    <col width="18" customWidth="1" style="4" min="4" max="5"/>
    <col width="44" customWidth="1" style="17" min="5" max="5"/>
    <col width="6" customWidth="1" style="4" min="6" max="6"/>
    <col width="12" customWidth="1" style="4" min="7" max="7"/>
    <col width="20" customWidth="1" style="4" min="8" max="8"/>
    <col width="18" customWidth="1" style="4" min="9" max="16384"/>
    <col width="18" customWidth="1" style="17" min="10" max="10"/>
    <col width="58" customWidth="1" style="17" min="11" max="11"/>
    <col width="40" customWidth="1" style="17" min="12" max="12"/>
    <col width="10" customWidth="1" style="17" min="13" max="13"/>
    <col width="12" customWidth="1" style="17" min="14" max="14"/>
    <col width="18" customWidth="1" style="17" min="15" max="15"/>
  </cols>
  <sheetData>
    <row r="1" customFormat="1" s="3">
      <c r="A1" s="19" t="inlineStr">
        <is>
          <t>Item #</t>
        </is>
      </c>
      <c r="B1" s="20" t="inlineStr">
        <is>
          <t>Category</t>
        </is>
      </c>
      <c r="C1" s="21" t="inlineStr">
        <is>
          <t>Block(5)</t>
        </is>
      </c>
      <c r="D1" s="21" t="inlineStr">
        <is>
          <t>Subsystem</t>
        </is>
      </c>
      <c r="E1" s="20" t="inlineStr">
        <is>
          <t>Item</t>
        </is>
      </c>
      <c r="F1" s="20" t="inlineStr">
        <is>
          <t>Qty</t>
        </is>
      </c>
      <c r="G1" s="20" t="inlineStr">
        <is>
          <t>Supplier</t>
        </is>
      </c>
      <c r="H1" s="20" t="inlineStr">
        <is>
          <t>Supplier_PN</t>
        </is>
      </c>
      <c r="I1" s="20" t="inlineStr">
        <is>
          <t>Mfr</t>
        </is>
      </c>
      <c r="J1" s="20" t="inlineStr">
        <is>
          <t>Mfr_PN</t>
        </is>
      </c>
      <c r="K1" s="20" t="inlineStr">
        <is>
          <t>Specs/Notes</t>
        </is>
      </c>
      <c r="L1" s="20" t="inlineStr">
        <is>
          <t>URL</t>
        </is>
      </c>
      <c r="M1" s="22" t="inlineStr">
        <is>
          <t>Unit Price</t>
        </is>
      </c>
      <c r="N1" s="22" t="inlineStr">
        <is>
          <t>Total</t>
        </is>
      </c>
      <c r="O1" s="22" t="inlineStr">
        <is>
          <t>Notes (misc)</t>
        </is>
      </c>
    </row>
    <row r="2" customFormat="1" s="3">
      <c r="A2" s="23" t="inlineStr">
        <is>
          <t>1</t>
        </is>
      </c>
      <c r="B2" s="24" t="inlineStr">
        <is>
          <t>MCU/제어</t>
        </is>
      </c>
      <c r="C2" s="25" t="inlineStr">
        <is>
          <t>MCU</t>
        </is>
      </c>
      <c r="D2" s="25" t="inlineStr">
        <is>
          <t>MCU/제어</t>
        </is>
      </c>
      <c r="E2" s="26" t="inlineStr">
        <is>
          <t>Arduino Nano 33 IoT (3.3V)</t>
        </is>
      </c>
      <c r="F2" s="3" t="n">
        <v>3</v>
      </c>
      <c r="G2" s="24" t="inlineStr">
        <is>
          <t>Digi-Key</t>
        </is>
      </c>
      <c r="H2" s="24" t="inlineStr">
        <is>
          <t>1050-ABX00027-ND</t>
        </is>
      </c>
      <c r="I2" s="24" t="inlineStr">
        <is>
          <t>Arduino</t>
        </is>
      </c>
      <c r="J2" s="24" t="inlineStr">
        <is>
          <t>ABX00027</t>
        </is>
      </c>
      <c r="K2" s="26" t="inlineStr">
        <is>
          <t>3.3V logic (no level shifting needed with ADS1220). USB-powered.</t>
        </is>
      </c>
      <c r="L2" s="26" t="inlineStr">
        <is>
          <t>https://www.digikey.com/en/products/detail/arduino/ABX00027/10239968</t>
        </is>
      </c>
      <c r="M2" s="24" t="n">
        <v>23.9</v>
      </c>
      <c r="N2" s="27">
        <f>K2*D2</f>
        <v/>
      </c>
      <c r="O2" s="25" t="n"/>
    </row>
    <row r="3" customFormat="1" s="3">
      <c r="A3" s="23" t="inlineStr">
        <is>
          <t>2</t>
        </is>
      </c>
      <c r="B3" s="24" t="inlineStr">
        <is>
          <t>전압측정/ADC</t>
        </is>
      </c>
      <c r="C3" s="25" t="inlineStr">
        <is>
          <t>Voltage</t>
        </is>
      </c>
      <c r="D3" s="25" t="inlineStr">
        <is>
          <t>ADC/전압측정</t>
        </is>
      </c>
      <c r="E3" s="26" t="inlineStr">
        <is>
          <t>ADS1220 24-bit ADC breakout</t>
        </is>
      </c>
      <c r="F3" s="3" t="n">
        <v>3</v>
      </c>
      <c r="G3" s="24" t="inlineStr">
        <is>
          <t>Digi-Key</t>
        </is>
      </c>
      <c r="H3" s="24" t="inlineStr">
        <is>
          <t>1188-BB-ADS1220-ND</t>
        </is>
      </c>
      <c r="I3" s="24" t="inlineStr">
        <is>
          <t>Olimex LTD</t>
        </is>
      </c>
      <c r="J3" s="24" t="inlineStr">
        <is>
          <t>BB-ADS1220</t>
        </is>
      </c>
      <c r="K3" s="26" t="inlineStr">
        <is>
          <t>24-bit ΔΣ ADC w/ PGA; SPI. Measures V(2-3) and also shunt current if desired.</t>
        </is>
      </c>
      <c r="L3" s="26" t="inlineStr">
        <is>
          <t>https://www.digikey.com/en/products/detail/olimex-ltd/BB-ADS1220/21662042</t>
        </is>
      </c>
      <c r="M3" s="24" t="n">
        <v>18.64</v>
      </c>
      <c r="N3" s="27">
        <f>K3*D3</f>
        <v/>
      </c>
      <c r="O3" s="25" t="n"/>
    </row>
    <row r="4" customFormat="1" s="3">
      <c r="A4" s="23" t="inlineStr">
        <is>
          <t>3</t>
        </is>
      </c>
      <c r="B4" s="24" t="inlineStr">
        <is>
          <t>정전류/전류모니터</t>
        </is>
      </c>
      <c r="C4" s="25" t="inlineStr">
        <is>
          <t>Current</t>
        </is>
      </c>
      <c r="D4" s="25" t="inlineStr">
        <is>
          <t>정전류 인가</t>
        </is>
      </c>
      <c r="E4" s="26" t="inlineStr">
        <is>
          <t>Adjustable current source IC (TO-92)</t>
        </is>
      </c>
      <c r="F4" s="3" t="n">
        <v>10</v>
      </c>
      <c r="G4" s="24" t="inlineStr">
        <is>
          <t>Digi-Key</t>
        </is>
      </c>
      <c r="H4" s="24" t="inlineStr">
        <is>
          <t>LM334ZNS/NOPB-ND</t>
        </is>
      </c>
      <c r="I4" s="24" t="inlineStr">
        <is>
          <t>Texas Instruments</t>
        </is>
      </c>
      <c r="J4" s="24" t="inlineStr">
        <is>
          <t>LM334Z/NOPB</t>
        </is>
      </c>
      <c r="K4" s="26" t="inlineStr">
        <is>
          <t>Sets current via Rset: I≈67.7mV/Rset (@25°C). Use with 12V supply.</t>
        </is>
      </c>
      <c r="L4" s="26" t="inlineStr">
        <is>
          <t>https://www.digikey.com/en/products/detail/texas-instruments/LM334Z-NOPB/6215</t>
        </is>
      </c>
      <c r="M4" s="24" t="n">
        <v>0.637</v>
      </c>
      <c r="N4" s="27">
        <f>K4*D4</f>
        <v/>
      </c>
      <c r="O4" s="25" t="n"/>
    </row>
    <row r="5">
      <c r="A5" s="23" t="inlineStr">
        <is>
          <t>4</t>
        </is>
      </c>
      <c r="B5" s="24" t="inlineStr">
        <is>
          <t>정전류/전류모니터</t>
        </is>
      </c>
      <c r="C5" s="25" t="inlineStr">
        <is>
          <t>Current</t>
        </is>
      </c>
      <c r="D5" s="25" t="inlineStr">
        <is>
          <t>정전류 인가</t>
        </is>
      </c>
      <c r="E5" s="26" t="inlineStr">
        <is>
          <t>Rset for 1.0 mA (68.1Ω, 0.1%)</t>
        </is>
      </c>
      <c r="F5" s="3" t="n">
        <v>25</v>
      </c>
      <c r="G5" s="24" t="inlineStr">
        <is>
          <t>Digi-Key</t>
        </is>
      </c>
      <c r="H5" s="24" t="inlineStr">
        <is>
          <t>1712-YR1B68R1CCCT-ND</t>
        </is>
      </c>
      <c r="I5" s="24" t="inlineStr">
        <is>
          <t>TE Connectivity Passive Product</t>
        </is>
      </c>
      <c r="J5" s="24" t="inlineStr">
        <is>
          <t>YR1B68R1CC</t>
        </is>
      </c>
      <c r="K5" s="26" t="inlineStr">
        <is>
          <t>I≈0.0677/68.1≈0.994 mA at 25°C. Axial (easy solder).</t>
        </is>
      </c>
      <c r="L5" s="26" t="inlineStr">
        <is>
          <t>https://www.digikey.com/en/products/detail/te-connectivity-passive-product/YR1B68R1CC/2390921</t>
        </is>
      </c>
      <c r="M5" s="24" t="n">
        <v>0.4628</v>
      </c>
      <c r="N5" s="27">
        <f>K5*D5</f>
        <v/>
      </c>
      <c r="O5" s="25" t="n"/>
    </row>
    <row r="6">
      <c r="A6" s="23" t="inlineStr">
        <is>
          <t>5</t>
        </is>
      </c>
      <c r="B6" s="24" t="inlineStr">
        <is>
          <t>정전류/전류모니터</t>
        </is>
      </c>
      <c r="C6" s="25" t="inlineStr">
        <is>
          <t>Current</t>
        </is>
      </c>
      <c r="D6" s="25" t="inlineStr">
        <is>
          <t>정전류 인가</t>
        </is>
      </c>
      <c r="E6" s="26" t="inlineStr">
        <is>
          <t>Rset for 100 µA (681Ω, 0.1%)</t>
        </is>
      </c>
      <c r="F6" s="3" t="n">
        <v>25</v>
      </c>
      <c r="G6" s="24" t="inlineStr">
        <is>
          <t>Digi-Key</t>
        </is>
      </c>
      <c r="H6" s="24" t="inlineStr">
        <is>
          <t>1712-YR1B681RCCCT-ND</t>
        </is>
      </c>
      <c r="I6" s="24" t="inlineStr">
        <is>
          <t>TE Connectivity Passive Product</t>
        </is>
      </c>
      <c r="J6" s="24" t="inlineStr">
        <is>
          <t>YR1B681RCC</t>
        </is>
      </c>
      <c r="K6" s="26" t="inlineStr">
        <is>
          <t>I≈0.0677/681≈99.4 µA at 25°C. Axial (easy solder).</t>
        </is>
      </c>
      <c r="L6" s="26" t="inlineStr">
        <is>
          <t>https://www.digikey.com/en/products/detail/te-connectivity-passive-product/YR1B681RCC/2390920</t>
        </is>
      </c>
      <c r="M6" s="24" t="n">
        <v>0.4628</v>
      </c>
      <c r="N6" s="27">
        <f>K6*D6</f>
        <v/>
      </c>
      <c r="O6" s="25" t="n"/>
    </row>
    <row r="7">
      <c r="A7" s="23" t="inlineStr">
        <is>
          <t>6</t>
        </is>
      </c>
      <c r="B7" s="24" t="inlineStr">
        <is>
          <t>정전류/전류모니터</t>
        </is>
      </c>
      <c r="C7" s="25" t="inlineStr">
        <is>
          <t>Current</t>
        </is>
      </c>
      <c r="D7" s="25" t="inlineStr">
        <is>
          <t>정전류 인가</t>
        </is>
      </c>
      <c r="E7" s="26" t="inlineStr">
        <is>
          <t>Shunt resistor for current monitor (100Ω, 0.1%)</t>
        </is>
      </c>
      <c r="F7" s="3" t="n">
        <v>25</v>
      </c>
      <c r="G7" s="24" t="inlineStr">
        <is>
          <t>Digi-Key</t>
        </is>
      </c>
      <c r="H7" s="24" t="inlineStr">
        <is>
          <t>13-MFP-25BRD52-100RCT-ND</t>
        </is>
      </c>
      <c r="I7" s="24" t="inlineStr">
        <is>
          <t>YAGEO</t>
        </is>
      </c>
      <c r="J7" s="24" t="inlineStr">
        <is>
          <t>MFP-25BRD52-100R</t>
        </is>
      </c>
      <c r="K7" s="26" t="inlineStr">
        <is>
          <t>Place in series with current; read Vshunt with ADS1220 to compute I.</t>
        </is>
      </c>
      <c r="L7" s="26" t="inlineStr">
        <is>
          <t>https://www.digikey.com/en/products/detail/yageo/MFP-25BRD52-100R/2058796</t>
        </is>
      </c>
      <c r="M7" s="24" t="n">
        <v>0.3272</v>
      </c>
      <c r="N7" s="27">
        <f>K7*D7</f>
        <v/>
      </c>
      <c r="O7" s="25" t="n"/>
    </row>
    <row r="8">
      <c r="A8" s="23" t="inlineStr">
        <is>
          <t>7</t>
        </is>
      </c>
      <c r="B8" s="24" t="inlineStr">
        <is>
          <t>정전류/전류모니터</t>
        </is>
      </c>
      <c r="C8" s="25" t="inlineStr">
        <is>
          <t>Current</t>
        </is>
      </c>
      <c r="D8" s="25" t="inlineStr">
        <is>
          <t>정전류 인가</t>
        </is>
      </c>
      <c r="E8" s="26" t="inlineStr">
        <is>
          <t>DPDT relay, 12V coil (through-hole)</t>
        </is>
      </c>
      <c r="F8" s="3" t="n">
        <v>3</v>
      </c>
      <c r="G8" s="24" t="inlineStr">
        <is>
          <t>Digi-Key</t>
        </is>
      </c>
      <c r="H8" s="24" t="inlineStr">
        <is>
          <t>255-1002-5-ND</t>
        </is>
      </c>
      <c r="I8" s="24" t="inlineStr">
        <is>
          <t>Panasonic Electric Works</t>
        </is>
      </c>
      <c r="J8" s="24" t="inlineStr">
        <is>
          <t>TQ2-12V</t>
        </is>
      </c>
      <c r="K8" s="26" t="inlineStr">
        <is>
          <t>Swap I+ / I- to do +I/-I measurements; improves stability.</t>
        </is>
      </c>
      <c r="L8" s="26" t="inlineStr">
        <is>
          <t>https://www.digikey.com/en/products/detail/panasonic-electric-works/TQ2-12V/251774</t>
        </is>
      </c>
      <c r="M8" s="24" t="n">
        <v>2.16</v>
      </c>
      <c r="N8" s="27">
        <f>K8*D8</f>
        <v/>
      </c>
      <c r="O8" s="25" t="n"/>
    </row>
    <row r="9">
      <c r="A9" s="23" t="inlineStr">
        <is>
          <t>8</t>
        </is>
      </c>
      <c r="B9" s="24" t="inlineStr">
        <is>
          <t>정전류/전류반전(옵션)</t>
        </is>
      </c>
      <c r="C9" s="25" t="inlineStr">
        <is>
          <t>Current</t>
        </is>
      </c>
      <c r="D9" s="25" t="inlineStr">
        <is>
          <t>전류 반전/릴레이</t>
        </is>
      </c>
      <c r="E9" s="26" t="inlineStr">
        <is>
          <t>NPN transistor (TO-92)</t>
        </is>
      </c>
      <c r="F9" s="3" t="n">
        <v>10</v>
      </c>
      <c r="G9" s="24" t="inlineStr">
        <is>
          <t>Digi-Key</t>
        </is>
      </c>
      <c r="H9" s="24" t="inlineStr">
        <is>
          <t>PN2222AFS-ND</t>
        </is>
      </c>
      <c r="I9" s="24" t="inlineStr">
        <is>
          <t>Onsemi</t>
        </is>
      </c>
      <c r="J9" s="24" t="inlineStr">
        <is>
          <t>PN2222ABU</t>
        </is>
      </c>
      <c r="K9" s="26" t="inlineStr">
        <is>
          <t>replace PN2222A</t>
        </is>
      </c>
      <c r="L9" s="26" t="inlineStr">
        <is>
          <t>https://www.digikey.com/en/products/detail/onsemi/pn2222abu/6534</t>
        </is>
      </c>
      <c r="M9" s="24" t="n">
        <v>0.184</v>
      </c>
      <c r="N9" s="27">
        <f>K9*D9</f>
        <v/>
      </c>
      <c r="O9" s="24" t="n"/>
    </row>
    <row r="10">
      <c r="A10" s="23" t="inlineStr">
        <is>
          <t>9</t>
        </is>
      </c>
      <c r="B10" s="24" t="inlineStr">
        <is>
          <t>정전류/전류반전(옵션)</t>
        </is>
      </c>
      <c r="C10" s="25" t="inlineStr">
        <is>
          <t>Current</t>
        </is>
      </c>
      <c r="D10" s="25" t="inlineStr">
        <is>
          <t>전류 반전/릴레이</t>
        </is>
      </c>
      <c r="E10" s="26" t="inlineStr">
        <is>
          <t>Flyback diode for relay coil</t>
        </is>
      </c>
      <c r="F10" s="3" t="n">
        <v>20</v>
      </c>
      <c r="G10" s="24" t="inlineStr">
        <is>
          <t>Digi-Key</t>
        </is>
      </c>
      <c r="H10" s="24" t="inlineStr">
        <is>
          <t>1N4148FS-ND</t>
        </is>
      </c>
      <c r="I10" s="24" t="inlineStr">
        <is>
          <t>Onsemi</t>
        </is>
      </c>
      <c r="J10" s="24" t="inlineStr">
        <is>
          <t>1N4148FS-ND</t>
        </is>
      </c>
      <c r="K10" s="26" t="inlineStr">
        <is>
          <t>replace 1N4148-T</t>
        </is>
      </c>
      <c r="L10" s="26" t="inlineStr">
        <is>
          <t>https://www.digikey.com/en/products/detail/onsemi/1N4148/458603</t>
        </is>
      </c>
      <c r="M10" s="24" t="n">
        <v>0.41</v>
      </c>
      <c r="N10" s="27">
        <f>K10*D10</f>
        <v/>
      </c>
      <c r="O10" s="24" t="n"/>
    </row>
    <row r="11">
      <c r="A11" s="23" t="inlineStr">
        <is>
          <t>10</t>
        </is>
      </c>
      <c r="B11" s="24" t="inlineStr">
        <is>
          <t>정전류/전류반전(옵션)</t>
        </is>
      </c>
      <c r="C11" s="25" t="inlineStr">
        <is>
          <t>Current</t>
        </is>
      </c>
      <c r="D11" s="25" t="inlineStr">
        <is>
          <t>전류 반전/릴레이</t>
        </is>
      </c>
      <c r="E11" s="26" t="inlineStr">
        <is>
          <t>Base resistor (1kΩ, 0.1% optional; 1% OK)</t>
        </is>
      </c>
      <c r="F11" s="3" t="n">
        <v>25</v>
      </c>
      <c r="G11" s="24" t="inlineStr">
        <is>
          <t>Digi-Key</t>
        </is>
      </c>
      <c r="H11" s="24" t="inlineStr">
        <is>
          <t>A105942CT-ND</t>
        </is>
      </c>
      <c r="I11" s="24" t="inlineStr">
        <is>
          <t>TE Connectivity Passive Product</t>
        </is>
      </c>
      <c r="J11" s="24" t="inlineStr">
        <is>
          <t>YR1B1K0CC</t>
        </is>
      </c>
      <c r="K11" s="26" t="inlineStr">
        <is>
          <t>Use 1kΩ from Arduino pin to PN2222A base.</t>
        </is>
      </c>
      <c r="L11" s="26" t="inlineStr">
        <is>
          <t>https://www.digikey.com/en/products/detail/te-connectivity-passive-product/YR1B1K0CC/2390772</t>
        </is>
      </c>
      <c r="M11" s="24" t="n">
        <v>0.4568</v>
      </c>
      <c r="N11" s="27">
        <f>K11*D11</f>
        <v/>
      </c>
      <c r="O11" s="25" t="n"/>
    </row>
    <row r="12">
      <c r="A12" s="23" t="inlineStr">
        <is>
          <t>11</t>
        </is>
      </c>
      <c r="B12" s="24" t="inlineStr">
        <is>
          <t>전압측정/ADC</t>
        </is>
      </c>
      <c r="C12" s="25" t="inlineStr">
        <is>
          <t>Voltage</t>
        </is>
      </c>
      <c r="D12" s="25" t="inlineStr">
        <is>
          <t>ADC/전압측정</t>
        </is>
      </c>
      <c r="E12" s="26" t="inlineStr">
        <is>
          <t>Diode Array 1 Pair Common Anode 30 V 200mA Surface Mount TO-236-3, SC-59, SOT-23-3</t>
        </is>
      </c>
      <c r="F12" s="3" t="inlineStr">
        <is>
          <t>10</t>
        </is>
      </c>
      <c r="G12" s="24" t="inlineStr">
        <is>
          <t>Digi-Key</t>
        </is>
      </c>
      <c r="H12" s="28" t="inlineStr">
        <is>
          <t>4878-BAT54ACT-ND</t>
        </is>
      </c>
      <c r="I12" s="28" t="inlineStr">
        <is>
          <t>Diotec Semiconductor</t>
        </is>
      </c>
      <c r="J12" s="28" t="inlineStr">
        <is>
          <t>BAT54A</t>
        </is>
      </c>
      <c r="K12" s="29" t="inlineStr">
        <is>
          <t>BAT54A(공통 애노드): 입력 하단 클램프. pin3(공통)→AGND, pin1→IN0 노드, pin2→IN1 노드. (각 입력 앞에 1k 직렬저항 권장). SOT-23이라 00717 어댑터 사용.</t>
        </is>
      </c>
      <c r="L12" s="29" t="inlineStr">
        <is>
          <t>https://www.digikey.com/en/products/detail/diotec-semiconductor/BAT54A/13163440</t>
        </is>
      </c>
      <c r="M12" s="30" t="n">
        <v>0.08799999999999999</v>
      </c>
      <c r="N12" s="27">
        <f>K12*D12</f>
        <v/>
      </c>
      <c r="O12" s="31" t="n"/>
    </row>
    <row r="13">
      <c r="A13" s="23" t="inlineStr">
        <is>
          <t>12</t>
        </is>
      </c>
      <c r="B13" s="24" t="inlineStr">
        <is>
          <t>전압측정/ADC</t>
        </is>
      </c>
      <c r="C13" s="25" t="inlineStr">
        <is>
          <t>Voltage</t>
        </is>
      </c>
      <c r="D13" s="25" t="inlineStr">
        <is>
          <t>ADC/전압측정</t>
        </is>
      </c>
      <c r="E13" s="26" t="inlineStr">
        <is>
          <t>Diode Array 1 Pair Common Cathode 30 V 200mA Surface Mount TO-236-3, SC-59, SOT-23-3</t>
        </is>
      </c>
      <c r="F13" s="3" t="inlineStr">
        <is>
          <t>10</t>
        </is>
      </c>
      <c r="G13" s="24" t="inlineStr">
        <is>
          <t>Digi-Key</t>
        </is>
      </c>
      <c r="H13" s="28" t="inlineStr">
        <is>
          <t>4878-BAT54CTR-ND</t>
        </is>
      </c>
      <c r="I13" s="28" t="inlineStr">
        <is>
          <t>Diotec Semiconductor</t>
        </is>
      </c>
      <c r="J13" s="28" t="inlineStr">
        <is>
          <t>BAT54C</t>
        </is>
      </c>
      <c r="K13" s="29" t="inlineStr">
        <is>
          <t>BAT54C(공통 캐소드): 입력 상단 클램프. pin3(공통)→3V3_A, pin1→IN0 노드, pin2→IN1 노드. (각 입력 앞에 1k 직렬저항 권장). SOT-23이라 00717 어댑터 사용.</t>
        </is>
      </c>
      <c r="L13" s="29" t="inlineStr">
        <is>
          <t>https://www.digikey.com/en/products/detail/diotec-semiconductor/BAT54C/13163831</t>
        </is>
      </c>
      <c r="M13" s="30" t="n">
        <v>0.092</v>
      </c>
      <c r="N13" s="27">
        <f>K13*D13</f>
        <v/>
      </c>
      <c r="O13" s="31" t="n"/>
    </row>
    <row r="14">
      <c r="A14" s="23" t="inlineStr">
        <is>
          <t>13</t>
        </is>
      </c>
      <c r="B14" s="24" t="inlineStr">
        <is>
          <t>전압측정/ADC</t>
        </is>
      </c>
      <c r="C14" s="25" t="inlineStr">
        <is>
          <t>Voltage</t>
        </is>
      </c>
      <c r="D14" s="25" t="inlineStr">
        <is>
          <t>ADC/전압측정</t>
        </is>
      </c>
      <c r="E14" s="26" t="inlineStr">
        <is>
          <t>SOT23 TO DIP ADAPTER</t>
        </is>
      </c>
      <c r="F14" s="3" t="inlineStr">
        <is>
          <t>10</t>
        </is>
      </c>
      <c r="G14" s="24" t="inlineStr">
        <is>
          <t>Digi-Key</t>
        </is>
      </c>
      <c r="H14" s="28" t="inlineStr">
        <is>
          <t>1568-00717-ND</t>
        </is>
      </c>
      <c r="I14" s="28" t="inlineStr">
        <is>
          <t>SparkFun Electronics</t>
        </is>
      </c>
      <c r="J14" s="28" t="inlineStr">
        <is>
          <t>00717</t>
        </is>
      </c>
      <c r="K14" s="29" t="inlineStr">
        <is>
          <t>SOT-23→DIP 변환 보드. BAT54A용 1개 + BAT54C용 1개 필요(=최소 2개). SOT-23 핀3(공통) 매핑은 멀티미터 연속(삐-)로 확인 권장.</t>
        </is>
      </c>
      <c r="L14" s="29" t="inlineStr">
        <is>
          <t>https://www.digikey.com/en/products/detail/sparkfun-electronics/00717/5318740</t>
        </is>
      </c>
      <c r="M14" s="30" t="n">
        <v>1.25</v>
      </c>
      <c r="N14" s="27">
        <f>K14*D14</f>
        <v/>
      </c>
      <c r="O14" s="31" t="n"/>
    </row>
    <row r="15">
      <c r="A15" s="23" t="inlineStr">
        <is>
          <t>14</t>
        </is>
      </c>
      <c r="B15" s="24" t="inlineStr">
        <is>
          <t>전압측정/ADC</t>
        </is>
      </c>
      <c r="C15" s="25" t="inlineStr">
        <is>
          <t>Voltage</t>
        </is>
      </c>
      <c r="D15" s="25" t="inlineStr">
        <is>
          <t>ADC/전압측정</t>
        </is>
      </c>
      <c r="E15" s="26" t="inlineStr">
        <is>
          <t>Series resistors for ADC inputs (1kΩ, 1%)</t>
        </is>
      </c>
      <c r="F15" s="3" t="n">
        <v>50</v>
      </c>
      <c r="G15" s="24" t="inlineStr">
        <is>
          <t>Digi-Key</t>
        </is>
      </c>
      <c r="H15" s="28" t="inlineStr">
        <is>
          <t>1.00KXBK-ND</t>
        </is>
      </c>
      <c r="I15" s="28" t="inlineStr">
        <is>
          <t>YAGEO</t>
        </is>
      </c>
      <c r="J15" s="28" t="inlineStr">
        <is>
          <t>MFR-25FBF52-1K</t>
        </is>
      </c>
      <c r="K15" s="29" t="inlineStr">
        <is>
          <t>1kΩ axial 1% (through-hole). Put in series with V+ and V- into ADC to limit current during faults.</t>
        </is>
      </c>
      <c r="L15" s="29" t="inlineStr">
        <is>
          <t>https://www.digikey.com/en/products/detail/yageo/MFR-25FBF52-1K/13011</t>
        </is>
      </c>
      <c r="M15" s="31" t="n">
        <v>0.0286</v>
      </c>
      <c r="N15" s="32">
        <f>K15*D15</f>
        <v/>
      </c>
      <c r="O15" s="28" t="n"/>
    </row>
    <row r="16">
      <c r="A16" s="23" t="inlineStr">
        <is>
          <t>15</t>
        </is>
      </c>
      <c r="B16" s="24" t="inlineStr">
        <is>
          <t>전원/보호</t>
        </is>
      </c>
      <c r="C16" s="25" t="inlineStr">
        <is>
          <t>Power</t>
        </is>
      </c>
      <c r="D16" s="25" t="inlineStr">
        <is>
          <t>전원/보호</t>
        </is>
      </c>
      <c r="E16" s="26" t="inlineStr">
        <is>
          <t>12V wall adapter, 60W (12V/5A), 2.5mm center-positive</t>
        </is>
      </c>
      <c r="F16" s="3" t="n">
        <v>1</v>
      </c>
      <c r="G16" s="24" t="inlineStr">
        <is>
          <t>Digi-Key</t>
        </is>
      </c>
      <c r="H16" s="28" t="inlineStr">
        <is>
          <t>1939-1237-ND</t>
        </is>
      </c>
      <c r="I16" s="28" t="inlineStr">
        <is>
          <t>GlobTek, Inc.</t>
        </is>
      </c>
      <c r="J16" s="28" t="inlineStr">
        <is>
          <t>TR9CE5000LCP-N(R6B)</t>
        </is>
      </c>
      <c r="K16" s="29" t="inlineStr">
        <is>
          <t>Pleading simple external power. USB powers Arduino; tie grounds between USB GND and 12V GND.</t>
        </is>
      </c>
      <c r="L16" s="29" t="inlineStr">
        <is>
          <t>https://www.digikey.com/en/products/detail/globtek-inc/TR9CE5000LCP-N-R6B/8598040</t>
        </is>
      </c>
      <c r="M16" s="31" t="n">
        <v>19.24</v>
      </c>
      <c r="N16" s="32">
        <f>K16*D16</f>
        <v/>
      </c>
      <c r="O16" s="31" t="n"/>
    </row>
    <row r="17">
      <c r="A17" s="23" t="inlineStr">
        <is>
          <t>16</t>
        </is>
      </c>
      <c r="B17" s="24" t="inlineStr">
        <is>
          <t>전원/보호</t>
        </is>
      </c>
      <c r="C17" s="25" t="inlineStr">
        <is>
          <t>Power</t>
        </is>
      </c>
      <c r="D17" s="25" t="inlineStr">
        <is>
          <t>전원/보호</t>
        </is>
      </c>
      <c r="E17" s="26" t="inlineStr">
        <is>
          <t>Power Cord</t>
        </is>
      </c>
      <c r="F17" s="3" t="n">
        <v>1</v>
      </c>
      <c r="G17" s="24" t="inlineStr">
        <is>
          <t>Digi-Key</t>
        </is>
      </c>
      <c r="H17" s="28" t="inlineStr">
        <is>
          <t>TL868-ND</t>
        </is>
      </c>
      <c r="I17" s="28" t="inlineStr">
        <is>
          <t>Eaton Tripp Lite</t>
        </is>
      </c>
      <c r="J17" s="28" t="inlineStr">
        <is>
          <t>P006-002-13A</t>
        </is>
      </c>
      <c r="K17" s="29" t="inlineStr">
        <is>
          <t>IEC C13 power cord (for IEC C14 inlet)</t>
        </is>
      </c>
      <c r="L17" s="29" t="inlineStr">
        <is>
          <t>https://www.digikey.com/en/products/detail/eaton-tripp-lite/P006-002-13A/4896253?s=N4IgTCBcDaIAoAYEDYC0SyoIwGYCCIAugL5A</t>
        </is>
      </c>
      <c r="M17" s="31" t="n">
        <v>8.23</v>
      </c>
      <c r="N17" s="32">
        <f>K17*D17</f>
        <v/>
      </c>
      <c r="O17" s="31" t="n"/>
    </row>
    <row r="18">
      <c r="A18" s="23" t="inlineStr">
        <is>
          <t>17</t>
        </is>
      </c>
      <c r="B18" s="24" t="inlineStr">
        <is>
          <t>전원/보호</t>
        </is>
      </c>
      <c r="C18" s="25" t="inlineStr">
        <is>
          <t>Power</t>
        </is>
      </c>
      <c r="D18" s="25" t="inlineStr">
        <is>
          <t>전원/보호</t>
        </is>
      </c>
      <c r="E18" s="26" t="inlineStr">
        <is>
          <t>Fuse, 5x20mm, 500mA slow-blow</t>
        </is>
      </c>
      <c r="F18" s="3" t="n">
        <v>10</v>
      </c>
      <c r="G18" s="24" t="inlineStr">
        <is>
          <t>Digi-Key</t>
        </is>
      </c>
      <c r="H18" s="28" t="inlineStr">
        <is>
          <t>0215.500MXEP-ND</t>
        </is>
      </c>
      <c r="I18" s="28" t="inlineStr">
        <is>
          <t>Littelfuse Inc.</t>
        </is>
      </c>
      <c r="J18" s="28" t="inlineStr">
        <is>
          <t>0215.500MXEP</t>
        </is>
      </c>
      <c r="K18" s="29" t="inlineStr">
        <is>
          <t>Optional but good practice on the 12V input.</t>
        </is>
      </c>
      <c r="L18" s="29" t="inlineStr">
        <is>
          <t>https://www.digikey.com/en/products/detail/littelfuse-inc/0215-500MXEP/777421</t>
        </is>
      </c>
      <c r="M18" s="31" t="n">
        <v>2.275</v>
      </c>
      <c r="N18" s="32">
        <f>K18*D18</f>
        <v/>
      </c>
      <c r="O18" s="31" t="n"/>
    </row>
    <row r="19">
      <c r="A19" s="23" t="inlineStr">
        <is>
          <t>18</t>
        </is>
      </c>
      <c r="B19" s="24" t="inlineStr">
        <is>
          <t>PC/호스트</t>
        </is>
      </c>
      <c r="C19" s="25" t="inlineStr">
        <is>
          <t>PC</t>
        </is>
      </c>
      <c r="D19" s="25" t="inlineStr">
        <is>
          <t>PC/연결</t>
        </is>
      </c>
      <c r="E19" s="26" t="inlineStr">
        <is>
          <t>Fuse holder, 5x20mm PCB clip (pair)</t>
        </is>
      </c>
      <c r="F19" s="3" t="n">
        <v>5</v>
      </c>
      <c r="G19" s="24" t="inlineStr">
        <is>
          <t>Digi-Key</t>
        </is>
      </c>
      <c r="H19" s="28" t="inlineStr">
        <is>
          <t>732-11373-ND</t>
        </is>
      </c>
      <c r="I19" s="28" t="inlineStr">
        <is>
          <t>Würth Elektronik</t>
        </is>
      </c>
      <c r="J19" s="28" t="inlineStr">
        <is>
          <t>696105003002</t>
        </is>
      </c>
      <c r="K19" s="29" t="inlineStr">
        <is>
          <t>Two clips per fuse (buy 2 fuses worth = 4 clips). Alternatively use a panel fuse holder.</t>
        </is>
      </c>
      <c r="L19" s="29" t="inlineStr">
        <is>
          <t>https://www.digikey.com/en/products/detail/w%C3%BCrth-elektronik/696105003002/7244557</t>
        </is>
      </c>
      <c r="M19" s="31" t="n">
        <v>0.61</v>
      </c>
      <c r="N19" s="32">
        <f>K19*D19</f>
        <v/>
      </c>
      <c r="O19" s="31" t="n"/>
    </row>
    <row r="20">
      <c r="A20" s="23" t="inlineStr">
        <is>
          <t>19</t>
        </is>
      </c>
      <c r="B20" s="24" t="inlineStr">
        <is>
          <t>전원/보호</t>
        </is>
      </c>
      <c r="C20" s="25" t="inlineStr">
        <is>
          <t>Power</t>
        </is>
      </c>
      <c r="D20" s="25" t="inlineStr">
        <is>
          <t>전원/보호</t>
        </is>
      </c>
      <c r="E20" s="26" t="inlineStr">
        <is>
          <t>Toggle switch SPST, panel mount</t>
        </is>
      </c>
      <c r="F20" s="3" t="n">
        <v>3</v>
      </c>
      <c r="G20" s="24" t="inlineStr">
        <is>
          <t>Digi-Key</t>
        </is>
      </c>
      <c r="H20" s="28" t="inlineStr">
        <is>
          <t>2057-SW-T3-1A-A-A3-S1-ND</t>
        </is>
      </c>
      <c r="I20" s="28" t="inlineStr">
        <is>
          <t>Adam Tech</t>
        </is>
      </c>
      <c r="J20" s="28" t="inlineStr">
        <is>
          <t>SW-T3-1A-A-A3-S1</t>
        </is>
      </c>
      <c r="K20" s="29" t="inlineStr">
        <is>
          <t>Optional on/off for 12V input.</t>
        </is>
      </c>
      <c r="L20" s="29" t="inlineStr">
        <is>
          <t>https://www.digikey.com/en/products/detail/adam-tech/SW-T3-1A-A-A3-S1/15284460</t>
        </is>
      </c>
      <c r="M20" s="31" t="n">
        <v>0.98</v>
      </c>
      <c r="N20" s="32">
        <f>K20*D20</f>
        <v/>
      </c>
      <c r="O20" s="31" t="n"/>
    </row>
    <row r="21">
      <c r="A21" s="23" t="inlineStr">
        <is>
          <t>20</t>
        </is>
      </c>
      <c r="B21" s="24" t="inlineStr">
        <is>
          <t>전원/보호</t>
        </is>
      </c>
      <c r="C21" s="25" t="inlineStr">
        <is>
          <t>Power</t>
        </is>
      </c>
      <c r="D21" s="25" t="inlineStr">
        <is>
          <t>전원/보호</t>
        </is>
      </c>
      <c r="E21" s="26" t="inlineStr">
        <is>
          <t>Power LED, 3mm red through-hole</t>
        </is>
      </c>
      <c r="F21" s="3" t="n">
        <v>50</v>
      </c>
      <c r="G21" s="24" t="inlineStr">
        <is>
          <t>Digi-Key</t>
        </is>
      </c>
      <c r="H21" s="28" t="inlineStr">
        <is>
          <t>4491-LED3RED-ND</t>
        </is>
      </c>
      <c r="I21" s="28" t="inlineStr">
        <is>
          <t>Lumimax Optoelectronic Technology</t>
        </is>
      </c>
      <c r="J21" s="28" t="inlineStr">
        <is>
          <t>LED3RED</t>
        </is>
      </c>
      <c r="K21" s="29" t="inlineStr">
        <is>
          <t>Optional power indicator.</t>
        </is>
      </c>
      <c r="L21" s="29" t="inlineStr">
        <is>
          <t>https://www.digikey.com/en/products/detail/lumimax-optoelectronic-technology/LED3RED/24389652</t>
        </is>
      </c>
      <c r="M21" s="31" t="n">
        <v>0.073</v>
      </c>
      <c r="N21" s="32">
        <f>K21*D21</f>
        <v/>
      </c>
      <c r="O21" s="31" t="n"/>
    </row>
    <row r="22">
      <c r="A22" s="23" t="inlineStr">
        <is>
          <t>21</t>
        </is>
      </c>
      <c r="B22" s="24" t="inlineStr">
        <is>
          <t>전압측정/전원디커플링</t>
        </is>
      </c>
      <c r="C22" s="25" t="inlineStr">
        <is>
          <t>Voltage</t>
        </is>
      </c>
      <c r="D22" s="25" t="inlineStr">
        <is>
          <t>ADC 전원/노이즈</t>
        </is>
      </c>
      <c r="E22" s="26" t="inlineStr">
        <is>
          <t>Electrolytic capacitor 10µF 25V radial (through-hole)</t>
        </is>
      </c>
      <c r="F22" s="3" t="n">
        <v>10</v>
      </c>
      <c r="G22" s="24" t="inlineStr">
        <is>
          <t>Digi-Key</t>
        </is>
      </c>
      <c r="H22" s="28" t="inlineStr">
        <is>
          <t>P15799CT-ND</t>
        </is>
      </c>
      <c r="I22" s="28" t="inlineStr">
        <is>
          <t>Panasonic Electronic Components</t>
        </is>
      </c>
      <c r="J22" s="28" t="inlineStr">
        <is>
          <t>EEA-GA1E100H</t>
        </is>
      </c>
      <c r="K22" s="29" t="inlineStr">
        <is>
          <t>Across 12V rail near relay/current source.</t>
        </is>
      </c>
      <c r="L22" s="29" t="inlineStr">
        <is>
          <t>https://www.digikey.com/en/products/detail/panasonic-electronic-components/EEA-GA1E100H/2513301</t>
        </is>
      </c>
      <c r="M22" s="31" t="n">
        <v>0.173</v>
      </c>
      <c r="N22" s="32">
        <f>K22*D22</f>
        <v/>
      </c>
      <c r="O22" s="31" t="n"/>
    </row>
    <row r="23">
      <c r="A23" s="23" t="inlineStr">
        <is>
          <t>22</t>
        </is>
      </c>
      <c r="B23" s="24" t="inlineStr">
        <is>
          <t>전압측정/전원디커플링</t>
        </is>
      </c>
      <c r="C23" s="25" t="inlineStr">
        <is>
          <t>Voltage</t>
        </is>
      </c>
      <c r="D23" s="25" t="inlineStr">
        <is>
          <t>ADC 전원/노이즈</t>
        </is>
      </c>
      <c r="E23" s="26" t="inlineStr">
        <is>
          <t>Film capacitor 0.1µF 50V radial (through-hole)</t>
        </is>
      </c>
      <c r="F23" s="3" t="n">
        <v>10</v>
      </c>
      <c r="G23" s="24" t="inlineStr">
        <is>
          <t>Digi-Key</t>
        </is>
      </c>
      <c r="H23" s="31" t="inlineStr">
        <is>
          <t>399-5453-1-ND</t>
        </is>
      </c>
      <c r="I23" s="28" t="inlineStr">
        <is>
          <t>KEMET</t>
        </is>
      </c>
      <c r="J23" s="28" t="inlineStr">
        <is>
          <t>R82EC3100DQ70J</t>
        </is>
      </c>
      <c r="K23" s="29" t="inlineStr">
        <is>
          <t>replacing ECQ-B1H104JF3</t>
        </is>
      </c>
      <c r="L23" s="29" t="inlineStr">
        <is>
          <t>https://www.digikey.com/en/products/detail/kemet/R82EC3100DQ70J/1930807?s=N4IgTCBcDaIMwE4EFoCsAWVdkEZkDkAREAXQF8g</t>
        </is>
      </c>
      <c r="M23" s="31" t="n">
        <v>0.183</v>
      </c>
      <c r="N23" s="32">
        <f>K23*D23</f>
        <v/>
      </c>
      <c r="O23" s="28" t="n"/>
    </row>
    <row r="24">
      <c r="A24" s="23" t="inlineStr">
        <is>
          <t>23</t>
        </is>
      </c>
      <c r="B24" s="24" t="inlineStr">
        <is>
          <t>지원/배선·커넥터</t>
        </is>
      </c>
      <c r="C24" s="25" t="inlineStr">
        <is>
          <t>Support</t>
        </is>
      </c>
      <c r="D24" s="25" t="inlineStr">
        <is>
          <t>배선/커넥터</t>
        </is>
      </c>
      <c r="E24" s="26" t="inlineStr">
        <is>
          <t>Male header, 1x40, 2.54mm, through-hole</t>
        </is>
      </c>
      <c r="F24" s="3" t="n">
        <v>10</v>
      </c>
      <c r="G24" s="24" t="inlineStr">
        <is>
          <t>Digi-Key</t>
        </is>
      </c>
      <c r="H24" s="28" t="inlineStr">
        <is>
          <t>HDR100IMP40M-G-V-TH-ND</t>
        </is>
      </c>
      <c r="I24" s="28" t="inlineStr">
        <is>
          <t>Chip Quik Inc.</t>
        </is>
      </c>
      <c r="J24" s="28" t="inlineStr">
        <is>
          <t>HDR100IMP40M-G-V-TH</t>
        </is>
      </c>
      <c r="K24" s="29" t="inlineStr">
        <is>
          <t>Solder to Olimex board / perfboard as needed.</t>
        </is>
      </c>
      <c r="L24" s="29" t="inlineStr">
        <is>
          <t>https://www.digikey.com/en/products/detail/chip-quik-inc/HDR100IMP40M-G-V-TH/5978197</t>
        </is>
      </c>
      <c r="M24" s="31" t="n">
        <v>0.6899999999999999</v>
      </c>
      <c r="N24" s="32">
        <f>K24*D24</f>
        <v/>
      </c>
      <c r="O24" s="31" t="n"/>
    </row>
    <row r="25">
      <c r="A25" s="23" t="inlineStr">
        <is>
          <t>24</t>
        </is>
      </c>
      <c r="B25" s="24" t="inlineStr">
        <is>
          <t>지원/배선·커넥터</t>
        </is>
      </c>
      <c r="C25" s="25" t="inlineStr">
        <is>
          <t>Support</t>
        </is>
      </c>
      <c r="D25" s="25" t="inlineStr">
        <is>
          <t>배선/커넥터</t>
        </is>
      </c>
      <c r="E25" s="26" t="inlineStr">
        <is>
          <t>Female header, 1x40, 2.54mm, through-hole</t>
        </is>
      </c>
      <c r="F25" s="3" t="n">
        <v>10</v>
      </c>
      <c r="G25" s="24" t="inlineStr">
        <is>
          <t>Digi-Key</t>
        </is>
      </c>
      <c r="H25" s="28" t="inlineStr">
        <is>
          <t>HDR100IMP40F-G-V-TH-ND</t>
        </is>
      </c>
      <c r="I25" s="28" t="inlineStr">
        <is>
          <t>Chip Quik Inc.</t>
        </is>
      </c>
      <c r="J25" s="28" t="inlineStr">
        <is>
          <t>HDR100IMP40F-G-V-TH</t>
        </is>
      </c>
      <c r="K25" s="29" t="inlineStr">
        <is>
          <t>Make sockets so boards are pluggable; cut to length.</t>
        </is>
      </c>
      <c r="L25" s="29" t="inlineStr">
        <is>
          <t>https://www.digikey.com/en/products/detail/chip-quik-inc/HDR100IMP40F-G-V-TH/5978200</t>
        </is>
      </c>
      <c r="M25" s="31" t="n">
        <v>1.09</v>
      </c>
      <c r="N25" s="32">
        <f>K25*D25</f>
        <v/>
      </c>
      <c r="O25" s="31" t="n"/>
    </row>
    <row r="26">
      <c r="A26" s="23" t="inlineStr">
        <is>
          <t>25</t>
        </is>
      </c>
      <c r="B26" s="24" t="inlineStr">
        <is>
          <t>지원/배선·커넥터</t>
        </is>
      </c>
      <c r="C26" s="25" t="inlineStr">
        <is>
          <t>Support</t>
        </is>
      </c>
      <c r="D26" s="25" t="inlineStr">
        <is>
          <t>배선/커넥터</t>
        </is>
      </c>
      <c r="E26" s="26" t="inlineStr">
        <is>
          <t>CONN BIND POST KNURLED BLACK</t>
        </is>
      </c>
      <c r="F26" s="3" t="n">
        <v>2</v>
      </c>
      <c r="G26" s="24" t="inlineStr">
        <is>
          <t>Digi-Key</t>
        </is>
      </c>
      <c r="H26" s="28" t="inlineStr">
        <is>
          <t>501-1094-ND</t>
        </is>
      </c>
      <c r="I26" s="28" t="inlineStr">
        <is>
          <t>Pomona Electronics</t>
        </is>
      </c>
      <c r="J26" s="28" t="inlineStr">
        <is>
          <t>3760-0</t>
        </is>
      </c>
      <c r="K26" s="29" t="inlineStr">
        <is>
          <t>For I-/V- (or your labeling).</t>
        </is>
      </c>
      <c r="L26" s="29" t="inlineStr">
        <is>
          <t>https://www.digikey.com/en/products/detail/pomona-electronics/3760-0/603401</t>
        </is>
      </c>
      <c r="M26" s="31" t="n">
        <v>6.29</v>
      </c>
      <c r="N26" s="32">
        <f>K26*D26</f>
        <v/>
      </c>
      <c r="O26" s="31" t="n"/>
    </row>
    <row r="27">
      <c r="A27" s="23" t="inlineStr">
        <is>
          <t>26</t>
        </is>
      </c>
      <c r="B27" s="24" t="inlineStr">
        <is>
          <t>지원/배선·커넥터</t>
        </is>
      </c>
      <c r="C27" s="25" t="inlineStr">
        <is>
          <t>Support</t>
        </is>
      </c>
      <c r="D27" s="25" t="inlineStr">
        <is>
          <t>배선/커넥터</t>
        </is>
      </c>
      <c r="E27" s="26" t="inlineStr">
        <is>
          <t>Binding Post Connector Standard Knurled Red Tin</t>
        </is>
      </c>
      <c r="F27" s="3" t="inlineStr">
        <is>
          <t>2</t>
        </is>
      </c>
      <c r="G27" s="24" t="inlineStr">
        <is>
          <t>Digi-Key</t>
        </is>
      </c>
      <c r="H27" s="28" t="inlineStr">
        <is>
          <t>501-1095-ND</t>
        </is>
      </c>
      <c r="I27" s="28" t="inlineStr">
        <is>
          <t>Pomona Electronics</t>
        </is>
      </c>
      <c r="J27" s="28" t="inlineStr">
        <is>
          <t>3760-2</t>
        </is>
      </c>
      <c r="K27" s="29" t="inlineStr">
        <is>
          <t>For I+/V+ (or your labeling).</t>
        </is>
      </c>
      <c r="L27" s="29" t="inlineStr">
        <is>
          <t>https://www.digikey.com/en/products/detail/pomona-electronics/3760-2/603402</t>
        </is>
      </c>
      <c r="M27" s="31" t="n">
        <v>6.29</v>
      </c>
      <c r="N27" s="32">
        <f>K27*D27</f>
        <v/>
      </c>
      <c r="O27" s="31" t="n"/>
    </row>
    <row r="28">
      <c r="A28" s="23" t="inlineStr">
        <is>
          <t>27</t>
        </is>
      </c>
      <c r="B28" s="24" t="inlineStr">
        <is>
          <t>지원/배선·커넥터</t>
        </is>
      </c>
      <c r="C28" s="25" t="inlineStr">
        <is>
          <t>Support</t>
        </is>
      </c>
      <c r="D28" s="25" t="inlineStr">
        <is>
          <t>배선/커넥터</t>
        </is>
      </c>
      <c r="E28" s="26" t="inlineStr">
        <is>
          <t>Binding Post Connector Standard Knurled Green Tin</t>
        </is>
      </c>
      <c r="F28" s="3" t="inlineStr">
        <is>
          <t>2</t>
        </is>
      </c>
      <c r="G28" s="24" t="inlineStr">
        <is>
          <t>Digi-Key</t>
        </is>
      </c>
      <c r="H28" s="28" t="inlineStr">
        <is>
          <t>501-1506-ND</t>
        </is>
      </c>
      <c r="I28" s="28" t="inlineStr">
        <is>
          <t>Pomona Electronics</t>
        </is>
      </c>
      <c r="J28" s="28" t="inlineStr">
        <is>
          <t>3760-5</t>
        </is>
      </c>
      <c r="K28" s="29" t="inlineStr">
        <is>
          <t>For I-/V- (or your labeling).</t>
        </is>
      </c>
      <c r="L28" s="29" t="inlineStr">
        <is>
          <t>https://www.digikey.com/en/products/detail/pomona-electronics/3760-5/736554</t>
        </is>
      </c>
      <c r="M28" s="31" t="n">
        <v>6.29</v>
      </c>
      <c r="N28" s="32">
        <f>K28*D28</f>
        <v/>
      </c>
      <c r="O28" s="31" t="n"/>
    </row>
    <row r="29">
      <c r="A29" s="23" t="inlineStr">
        <is>
          <t>28</t>
        </is>
      </c>
      <c r="B29" s="24" t="inlineStr">
        <is>
          <t>지원/배선·커넥터</t>
        </is>
      </c>
      <c r="C29" s="25" t="inlineStr">
        <is>
          <t>Support</t>
        </is>
      </c>
      <c r="D29" s="25" t="inlineStr">
        <is>
          <t>배선/커넥터</t>
        </is>
      </c>
      <c r="E29" s="26" t="inlineStr">
        <is>
          <t>CONN BIND POST KNURLED BLUE</t>
        </is>
      </c>
      <c r="F29" s="3" t="inlineStr">
        <is>
          <t>2</t>
        </is>
      </c>
      <c r="G29" s="24" t="inlineStr">
        <is>
          <t>Digi-Key</t>
        </is>
      </c>
      <c r="H29" s="28" t="inlineStr">
        <is>
          <t>501-1650-ND</t>
        </is>
      </c>
      <c r="I29" s="28" t="inlineStr">
        <is>
          <t>Pomona Electronics</t>
        </is>
      </c>
      <c r="J29" s="28" t="inlineStr">
        <is>
          <t>3760-6</t>
        </is>
      </c>
      <c r="K29" s="29" t="inlineStr">
        <is>
          <t>For I+/V+ (or your labeling).</t>
        </is>
      </c>
      <c r="L29" s="29" t="inlineStr">
        <is>
          <t>https://www.digikey.com/en/products/detail/pomona-electronics/3760-6/736555</t>
        </is>
      </c>
      <c r="M29" s="31" t="n">
        <v>6.29</v>
      </c>
      <c r="N29" s="32">
        <f>K29*D29</f>
        <v/>
      </c>
      <c r="O29" s="31" t="n"/>
    </row>
    <row r="30">
      <c r="A30" s="23" t="inlineStr">
        <is>
          <t>29</t>
        </is>
      </c>
      <c r="B30" s="24" t="inlineStr">
        <is>
          <t>지원/기타</t>
        </is>
      </c>
      <c r="C30" s="25" t="inlineStr">
        <is>
          <t>Support</t>
        </is>
      </c>
      <c r="D30" s="25" t="inlineStr">
        <is>
          <t>기타</t>
        </is>
      </c>
      <c r="E30" s="26" t="inlineStr">
        <is>
          <t>Ferrite clamp (snap-on) for motor cable</t>
        </is>
      </c>
      <c r="F30" s="3" t="n">
        <v>10</v>
      </c>
      <c r="G30" s="24" t="inlineStr">
        <is>
          <t>Digi-Key</t>
        </is>
      </c>
      <c r="H30" s="28" t="inlineStr">
        <is>
          <t>1934-1375-ND</t>
        </is>
      </c>
      <c r="I30" s="28" t="inlineStr">
        <is>
          <t>Fair-Rite</t>
        </is>
      </c>
      <c r="J30" s="28" t="n">
        <v>431167281</v>
      </c>
      <c r="K30" s="29" t="inlineStr">
        <is>
          <t>reduce stepper cable EMI that can leak into 4PP ADC. Place near driver and/or near motor.</t>
        </is>
      </c>
      <c r="L30" s="29" t="inlineStr">
        <is>
          <t>https://www.digikey.com/en/products/filter/ferrite-cores/933</t>
        </is>
      </c>
      <c r="M30" s="31" t="n">
        <v>1.792</v>
      </c>
      <c r="N30" s="32">
        <f>K30*D30</f>
        <v/>
      </c>
      <c r="O30" s="31" t="n"/>
    </row>
    <row r="31">
      <c r="A31" s="23" t="inlineStr">
        <is>
          <t>30</t>
        </is>
      </c>
      <c r="B31" s="24" t="inlineStr">
        <is>
          <t>지원/배선·커넥터</t>
        </is>
      </c>
      <c r="C31" s="25" t="inlineStr">
        <is>
          <t>Support</t>
        </is>
      </c>
      <c r="D31" s="25" t="inlineStr">
        <is>
          <t>배선/커넥터</t>
        </is>
      </c>
      <c r="E31" s="26" t="inlineStr">
        <is>
          <t>shielded wire 22AWG (for V+ / V- lines, optional)</t>
        </is>
      </c>
      <c r="F31" s="3" t="n">
        <v>25</v>
      </c>
      <c r="G31" s="24" t="inlineStr">
        <is>
          <t>Digi-Key</t>
        </is>
      </c>
      <c r="H31" s="28" t="inlineStr">
        <is>
          <t>135-94610605000-DS-ND</t>
        </is>
      </c>
      <c r="I31" s="28" t="inlineStr">
        <is>
          <t>Belden Inc.</t>
        </is>
      </c>
      <c r="J31" s="28" t="inlineStr">
        <is>
          <t>9461 0605000</t>
        </is>
      </c>
      <c r="K31" s="29" t="inlineStr">
        <is>
          <t>Optional: use shield cable for voltage sense lines. If you skip, twist V+ and V- tightly.</t>
        </is>
      </c>
      <c r="L31" s="29" t="inlineStr">
        <is>
          <t>https://www.digikey.com/en/products/detail/belden-inc/9461-0605000/8132459?s=N4IgTCBcDaIIwGYCsBaAnAFgGxwAxdyV2JQBEBlFAOVJAF0BfIA</t>
        </is>
      </c>
      <c r="M31" s="31" t="n">
        <v>2.9336</v>
      </c>
      <c r="N31" s="32">
        <f>K31*D31</f>
        <v/>
      </c>
      <c r="O31" s="31" t="n"/>
    </row>
    <row r="32">
      <c r="A32" s="23" t="inlineStr">
        <is>
          <t>31</t>
        </is>
      </c>
      <c r="B32" s="24" t="inlineStr">
        <is>
          <t>지원/공구·소모품</t>
        </is>
      </c>
      <c r="C32" s="25" t="inlineStr">
        <is>
          <t>Support</t>
        </is>
      </c>
      <c r="D32" s="25" t="inlineStr">
        <is>
          <t>공구/소모품</t>
        </is>
      </c>
      <c r="E32" s="26" t="inlineStr">
        <is>
          <t>Desolder braid/wick (for fixing mistakes)</t>
        </is>
      </c>
      <c r="F32" s="3" t="n">
        <v>1</v>
      </c>
      <c r="G32" s="24" t="inlineStr">
        <is>
          <t>Digi-Key</t>
        </is>
      </c>
      <c r="H32" s="28" t="inlineStr">
        <is>
          <t>60-5-5-ND</t>
        </is>
      </c>
      <c r="I32" s="28" t="inlineStr">
        <is>
          <t>Chemtronics</t>
        </is>
      </c>
      <c r="J32" s="28" t="inlineStr">
        <is>
          <t>60-5-5</t>
        </is>
      </c>
      <c r="K32" s="29" t="inlineStr">
        <is>
          <t>5 ft wick; pick any size you like.</t>
        </is>
      </c>
      <c r="L32" s="29" t="inlineStr">
        <is>
          <t>https://www.digikey.com/en/products/detail/chemtronics/60-5-5/306973</t>
        </is>
      </c>
      <c r="M32" s="31" t="n">
        <v>8.31</v>
      </c>
      <c r="N32" s="32">
        <f>K32*D32</f>
        <v/>
      </c>
      <c r="O32" s="31" t="n"/>
    </row>
    <row r="33">
      <c r="A33" s="23" t="inlineStr">
        <is>
          <t>32</t>
        </is>
      </c>
      <c r="B33" s="24" t="inlineStr">
        <is>
          <t>지원/기구(스테이지 제외)</t>
        </is>
      </c>
      <c r="C33" s="25" t="inlineStr">
        <is>
          <t>Support</t>
        </is>
      </c>
      <c r="D33" s="25" t="inlineStr">
        <is>
          <t>기구/스테이지(제외)</t>
        </is>
      </c>
      <c r="E33" s="26" t="inlineStr">
        <is>
          <t>SWITCH SNAP ACTION SPDT 15A 250V</t>
        </is>
      </c>
      <c r="F33" s="3" t="n">
        <v>10</v>
      </c>
      <c r="G33" s="24" t="inlineStr">
        <is>
          <t>Digi-Key</t>
        </is>
      </c>
      <c r="H33" s="31" t="inlineStr">
        <is>
          <t>SW1249-ND</t>
        </is>
      </c>
      <c r="I33" s="28" t="inlineStr">
        <is>
          <t>Omron</t>
        </is>
      </c>
      <c r="J33" s="31" t="inlineStr">
        <is>
          <t>V-153-1A5</t>
        </is>
      </c>
      <c r="K33" s="29" t="inlineStr">
        <is>
          <t>switch for zeroing stepper motors</t>
        </is>
      </c>
      <c r="L33" s="33" t="inlineStr">
        <is>
          <t>https://www.digikey.com/en/products/detail/omron-electronics-inc-emc-div/V-153-1A5/1829012</t>
        </is>
      </c>
      <c r="M33" s="31" t="n">
        <v>3.371</v>
      </c>
      <c r="N33" s="32">
        <f>K33*D33</f>
        <v/>
      </c>
      <c r="O33" s="31" t="n"/>
    </row>
    <row r="34">
      <c r="A34" s="23" t="inlineStr">
        <is>
          <t>33</t>
        </is>
      </c>
      <c r="B34" s="24" t="inlineStr">
        <is>
          <t>PC/호스트</t>
        </is>
      </c>
      <c r="C34" s="25" t="inlineStr">
        <is>
          <t>PC</t>
        </is>
      </c>
      <c r="D34" s="25" t="inlineStr">
        <is>
          <t>PC/연결</t>
        </is>
      </c>
      <c r="E34" s="26" t="inlineStr">
        <is>
          <t>DC barrel jack, 5.5mm OD x 2.5mm ID, PCB right-angle, through-hole</t>
        </is>
      </c>
      <c r="F34" s="3" t="n">
        <v>2</v>
      </c>
      <c r="G34" s="24" t="inlineStr">
        <is>
          <t>Digi-Key</t>
        </is>
      </c>
      <c r="H34" s="24" t="inlineStr">
        <is>
          <t>SC1863-ND</t>
        </is>
      </c>
      <c r="I34" s="24" t="inlineStr">
        <is>
          <t>Switchcraft Inc.</t>
        </is>
      </c>
      <c r="J34" s="24" t="inlineStr">
        <is>
          <t>RAPC712BK</t>
        </is>
      </c>
      <c r="K34" s="26" t="inlineStr">
        <is>
          <t>12V power barrel jack</t>
        </is>
      </c>
      <c r="L34" s="26" t="inlineStr">
        <is>
          <t>https://www.digikey.com/en/products/detail/switchcraft-inc/RAPC712BK/1288493</t>
        </is>
      </c>
      <c r="M34" s="31" t="n">
        <v>3.09</v>
      </c>
      <c r="N34" s="32">
        <f>K34*D34</f>
        <v/>
      </c>
      <c r="O34" s="31" t="n"/>
    </row>
    <row r="35">
      <c r="A35" s="23" t="inlineStr">
        <is>
          <t>34</t>
        </is>
      </c>
      <c r="B35" s="24" t="inlineStr">
        <is>
          <t>전원/보호</t>
        </is>
      </c>
      <c r="C35" s="25" t="inlineStr">
        <is>
          <t>Power</t>
        </is>
      </c>
      <c r="D35" s="25" t="inlineStr">
        <is>
          <t>전원/보호</t>
        </is>
      </c>
      <c r="E35" s="26" t="inlineStr">
        <is>
          <t>Inline blade fuse holder (ATC/ATO), splashproof cover, wire leads</t>
        </is>
      </c>
      <c r="F35" s="3" t="n">
        <v>5</v>
      </c>
      <c r="G35" s="24" t="inlineStr">
        <is>
          <t>Digi-Key</t>
        </is>
      </c>
      <c r="H35" s="24" t="inlineStr">
        <is>
          <t>F3209-ND</t>
        </is>
      </c>
      <c r="I35" s="24" t="inlineStr">
        <is>
          <t>Littelfuse/Commercial Vehicle Products</t>
        </is>
      </c>
      <c r="J35" s="24" t="inlineStr">
        <is>
          <t>FHAC0001ZXJ</t>
        </is>
      </c>
      <c r="K35" s="26" t="inlineStr">
        <is>
          <t>12V 메인 라인에 직렬로 넣어서 전체 보호(권장). 2개는 '메인/모터' 분기 각각 보호할 때 사용.</t>
        </is>
      </c>
      <c r="L35" s="33" t="inlineStr">
        <is>
          <t>https://www.digikey.com/en/products/detail/littelfuse-commercial-vehicle-products/FHAC0001ZXJ/2004062</t>
        </is>
      </c>
      <c r="M35" s="31" t="n">
        <v>5.33</v>
      </c>
      <c r="N35" s="32">
        <f>K35*D35</f>
        <v/>
      </c>
      <c r="O35" s="31" t="n"/>
    </row>
    <row r="36">
      <c r="A36" s="23" t="inlineStr">
        <is>
          <t>35</t>
        </is>
      </c>
      <c r="B36" s="24" t="inlineStr">
        <is>
          <t>전원/보호</t>
        </is>
      </c>
      <c r="C36" s="25" t="inlineStr">
        <is>
          <t>Power</t>
        </is>
      </c>
      <c r="D36" s="25" t="inlineStr">
        <is>
          <t>전원/보호</t>
        </is>
      </c>
      <c r="E36" s="26" t="inlineStr">
        <is>
          <t>ATC/ATO blade fuse, 5A, 32V</t>
        </is>
      </c>
      <c r="F36" s="3" t="n">
        <v>10</v>
      </c>
      <c r="G36" s="24" t="inlineStr">
        <is>
          <t>Digi-Key</t>
        </is>
      </c>
      <c r="H36" s="24" t="inlineStr">
        <is>
          <t>0287005.U-ND</t>
        </is>
      </c>
      <c r="I36" s="24" t="inlineStr">
        <is>
          <t>Littelfuse Inc.</t>
        </is>
      </c>
      <c r="J36" s="24" t="inlineStr">
        <is>
          <t>0287005.U</t>
        </is>
      </c>
      <c r="K36" s="26" t="inlineStr">
        <is>
          <t>12V 5A 어댑터 기준 메인 퓨즈로 무난. (실제 동작 전류가 낮으면 3A로 낮추는 게 더 안전)</t>
        </is>
      </c>
      <c r="L36" s="26" t="inlineStr">
        <is>
          <t>https://www.digikey.com/en/products/detail/littelfuse-inc/0287005.U/3996899</t>
        </is>
      </c>
      <c r="M36" s="31" t="n">
        <v>0.332</v>
      </c>
      <c r="N36" s="32">
        <f>K36*D36</f>
        <v/>
      </c>
      <c r="O36" s="31" t="n"/>
    </row>
    <row r="37">
      <c r="A37" s="23" t="inlineStr">
        <is>
          <t>36</t>
        </is>
      </c>
      <c r="B37" s="24" t="inlineStr">
        <is>
          <t>전원/보호</t>
        </is>
      </c>
      <c r="C37" s="25" t="inlineStr">
        <is>
          <t>Power</t>
        </is>
      </c>
      <c r="D37" s="25" t="inlineStr">
        <is>
          <t>전원/보호</t>
        </is>
      </c>
      <c r="E37" s="26" t="inlineStr">
        <is>
          <t>ATC/ATO blade fuse, 3A, 32V</t>
        </is>
      </c>
      <c r="F37" s="3" t="n">
        <v>10</v>
      </c>
      <c r="G37" s="24" t="inlineStr">
        <is>
          <t>Digi-Key</t>
        </is>
      </c>
      <c r="H37" s="31" t="inlineStr">
        <is>
          <t>F11061-ND</t>
        </is>
      </c>
      <c r="I37" s="31" t="inlineStr">
        <is>
          <t>Littelfuse Inc.</t>
        </is>
      </c>
      <c r="J37" s="31" t="inlineStr">
        <is>
          <t>0287003.U</t>
        </is>
      </c>
      <c r="K37" s="26" t="inlineStr">
        <is>
          <t>12V 3A 어댑터  메인 퓨즈로 무난. (실제 동작 전류가 5A보다 낮을때)</t>
        </is>
      </c>
      <c r="L37" s="33" t="inlineStr">
        <is>
          <t>https://www.digikey.com/en/products/detail/littelfuse-inc/0287003-U/3996895?s=N4IgTCBcDaIAxgBwHY5wMwDoCqIC6AvkA</t>
        </is>
      </c>
      <c r="M37" s="31" t="n">
        <v>0.332</v>
      </c>
      <c r="N37" s="32">
        <f>K37*D37</f>
        <v/>
      </c>
      <c r="O37" s="31" t="n"/>
    </row>
    <row r="38">
      <c r="A38" s="23" t="inlineStr">
        <is>
          <t>37</t>
        </is>
      </c>
      <c r="B38" s="24" t="inlineStr">
        <is>
          <t>전원/보호</t>
        </is>
      </c>
      <c r="C38" s="25" t="inlineStr">
        <is>
          <t>Power</t>
        </is>
      </c>
      <c r="D38" s="25" t="inlineStr">
        <is>
          <t>전원/보호</t>
        </is>
      </c>
      <c r="E38" s="26" t="inlineStr">
        <is>
          <t>TVS diode, SMBJ15A, unidirectional, DO-214AA</t>
        </is>
      </c>
      <c r="F38" s="3" t="n">
        <v>10</v>
      </c>
      <c r="G38" s="24" t="inlineStr">
        <is>
          <t>Digi-Key</t>
        </is>
      </c>
      <c r="H38" s="24" t="inlineStr">
        <is>
          <t>SMBJ15ALFCT-ND</t>
        </is>
      </c>
      <c r="I38" s="24" t="inlineStr">
        <is>
          <t>Littelfuse Inc.</t>
        </is>
      </c>
      <c r="J38" s="24" t="inlineStr">
        <is>
          <t>SMBJ15A</t>
        </is>
      </c>
      <c r="K38" s="26" t="inlineStr">
        <is>
          <t>12V 레일에 병렬(12V↔GND)로 넣어 스파이크/ESD 흡수. 퓨즈 '뒤'에 배치 권장.</t>
        </is>
      </c>
      <c r="L38" s="33" t="inlineStr">
        <is>
          <t>https://www.digikey.com/en/products/detail/littelfuse-inc/SMBJ15A/285980</t>
        </is>
      </c>
      <c r="M38" s="31" t="n">
        <v>0.189</v>
      </c>
      <c r="N38" s="32">
        <f>K38*D38</f>
        <v/>
      </c>
      <c r="O38" s="31" t="n"/>
    </row>
    <row r="39">
      <c r="A39" s="23" t="inlineStr">
        <is>
          <t>38</t>
        </is>
      </c>
      <c r="B39" s="24" t="inlineStr">
        <is>
          <t>전원/보호</t>
        </is>
      </c>
      <c r="C39" s="25" t="inlineStr">
        <is>
          <t>Power</t>
        </is>
      </c>
      <c r="D39" s="25" t="inlineStr">
        <is>
          <t>전원/보호</t>
        </is>
      </c>
      <c r="E39" s="26" t="inlineStr">
        <is>
          <t>Bulk electrolytic capacitor, low ESR, 470uF 25V radial</t>
        </is>
      </c>
      <c r="F39" s="3" t="n">
        <v>10</v>
      </c>
      <c r="G39" s="24" t="inlineStr">
        <is>
          <t>Digi-Key</t>
        </is>
      </c>
      <c r="H39" s="24" t="inlineStr">
        <is>
          <t>P14418-ND</t>
        </is>
      </c>
      <c r="I39" s="24" t="inlineStr">
        <is>
          <t>Panasonic Electronic Components</t>
        </is>
      </c>
      <c r="J39" s="24" t="inlineStr">
        <is>
          <t>EEU-FR1E471L</t>
        </is>
      </c>
      <c r="K39" s="26" t="inlineStr">
        <is>
          <t>VMOT(모터 드라이버) 근처 12V↔GND에 추가(권장). 리플/스텝 부하에 대한 버퍼 역할. (Panasonic FR, 105°C)</t>
        </is>
      </c>
      <c r="L39" s="33" t="inlineStr">
        <is>
          <t>https://www.digikey.com/en/products/detail/panasonic-electronic-components/EEU-FR1E471L/2433552</t>
        </is>
      </c>
      <c r="M39" s="31" t="n">
        <v>0.592</v>
      </c>
      <c r="N39" s="32">
        <f>K39*D39</f>
        <v/>
      </c>
      <c r="O39" s="31" t="n"/>
    </row>
    <row r="40">
      <c r="A40" s="23" t="inlineStr">
        <is>
          <t>39</t>
        </is>
      </c>
      <c r="B40" s="24" t="inlineStr">
        <is>
          <t>전압측정/전원디커플링</t>
        </is>
      </c>
      <c r="C40" s="25" t="inlineStr">
        <is>
          <t>Voltage</t>
        </is>
      </c>
      <c r="D40" s="25" t="inlineStr">
        <is>
          <t>ADC 전원/노이즈</t>
        </is>
      </c>
      <c r="E40" s="26" t="inlineStr">
        <is>
          <t>10 Ohms ±1% 0.25W, 1/4W Through Hole Resistor Axial Metal Film</t>
        </is>
      </c>
      <c r="F40" s="3" t="inlineStr">
        <is>
          <t>25</t>
        </is>
      </c>
      <c r="G40" s="24" t="inlineStr">
        <is>
          <t>Digi-Key</t>
        </is>
      </c>
      <c r="H40" s="24" t="inlineStr">
        <is>
          <t>13-MFR-25FTF52-10RCT-ND</t>
        </is>
      </c>
      <c r="I40" s="24" t="inlineStr">
        <is>
          <t>YAGEO</t>
        </is>
      </c>
      <c r="J40" s="24" t="inlineStr">
        <is>
          <t>MFR-25FTF52-10R</t>
        </is>
      </c>
      <c r="K40" s="26" t="inlineStr">
        <is>
          <t>옵션(권장): Arduino 3V3_DIG→10Ω→3V3_A(ADC 전용 전원). 10Ω '뒤쪽(3V3_A)'에서 0.1µF+1µF를 AGND로 디커플링. ADS1220 VDD/AVDD 및 BAT54C 공통(#3)도 3V3_A에 연결.</t>
        </is>
      </c>
      <c r="L40" s="33" t="inlineStr">
        <is>
          <t>https://www.digikey.com/en/products/detail/yageo/MFR-25FTF52-10R/9140488?utm_source=chatgpt.com</t>
        </is>
      </c>
      <c r="M40" s="30" t="inlineStr">
        <is>
          <t>0.0312</t>
        </is>
      </c>
      <c r="N40" s="32">
        <f>K40*D40</f>
        <v/>
      </c>
      <c r="O40" s="31" t="n"/>
    </row>
    <row r="41">
      <c r="A41" s="23" t="inlineStr">
        <is>
          <t>40</t>
        </is>
      </c>
      <c r="B41" s="24" t="inlineStr">
        <is>
          <t>전압측정/전원디커플링</t>
        </is>
      </c>
      <c r="C41" s="25" t="inlineStr">
        <is>
          <t>Voltage</t>
        </is>
      </c>
      <c r="D41" s="25" t="inlineStr">
        <is>
          <t>ADC 전원/노이즈</t>
        </is>
      </c>
      <c r="E41" s="26" t="inlineStr">
        <is>
          <t>1 µF ±10% 16V Ceramic Capacitor X7R Radial</t>
        </is>
      </c>
      <c r="F41" s="3" t="inlineStr">
        <is>
          <t>50</t>
        </is>
      </c>
      <c r="G41" s="24" t="inlineStr">
        <is>
          <t>Digi-Key</t>
        </is>
      </c>
      <c r="H41" s="24" t="inlineStr">
        <is>
          <t>445-FK24X7R1C105KN000-ND</t>
        </is>
      </c>
      <c r="I41" s="24" t="inlineStr">
        <is>
          <t>TDK Corporation</t>
        </is>
      </c>
      <c r="J41" s="24" t="inlineStr">
        <is>
          <t>FK24X7R1C105KN000</t>
        </is>
      </c>
      <c r="K41" s="26" t="inlineStr">
        <is>
          <t>필수(권장): 3V3_A↔AGND에 0.1µF와 병렬. ADS1220 VDD/AVDD 핀 근처에 배치(리드/배선 최소).</t>
        </is>
      </c>
      <c r="L41" s="33" t="inlineStr">
        <is>
          <t>https://www.digikey.com/en/products/detail/tdk-corporation/fk24x7r1c105kn000/1008884</t>
        </is>
      </c>
      <c r="M41" s="30" t="inlineStr">
        <is>
          <t>0.1738</t>
        </is>
      </c>
      <c r="N41" s="32">
        <f>K41*D41</f>
        <v/>
      </c>
      <c r="O41" s="31" t="n"/>
    </row>
    <row r="42">
      <c r="A42" s="23" t="inlineStr">
        <is>
          <t>41</t>
        </is>
      </c>
      <c r="B42" s="24" t="inlineStr">
        <is>
          <t>전압측정/전원디커플링</t>
        </is>
      </c>
      <c r="C42" s="25" t="inlineStr">
        <is>
          <t>Voltage</t>
        </is>
      </c>
      <c r="D42" s="25" t="inlineStr">
        <is>
          <t>ADC 전원/노이즈</t>
        </is>
      </c>
      <c r="E42" s="26" t="inlineStr">
        <is>
          <t>0.1 µF ±10% 50V Ceramic Capacitor X7R Radial</t>
        </is>
      </c>
      <c r="F42" s="3" t="inlineStr">
        <is>
          <t>50</t>
        </is>
      </c>
      <c r="G42" s="24" t="inlineStr">
        <is>
          <t>Digi-Key</t>
        </is>
      </c>
      <c r="H42" s="24" t="inlineStr">
        <is>
          <t>490-9144-1-ND</t>
        </is>
      </c>
      <c r="I42" s="24" t="inlineStr">
        <is>
          <t>Murata Electronics</t>
        </is>
      </c>
      <c r="J42" s="24" t="inlineStr">
        <is>
          <t>RDER71H104K0M1H03A</t>
        </is>
      </c>
      <c r="K42" s="26" t="inlineStr">
        <is>
          <t>필수(권장): 3V3_A↔AGND 디커플링(고주파). 1µF와 병렬로 ADS1220 전원 핀 근처에 배치.</t>
        </is>
      </c>
      <c r="L42" s="33" t="inlineStr">
        <is>
          <t>https://www.digikey.com/en/products/detail/murata-electronics/RDER71H104K0M1H03A/4772306</t>
        </is>
      </c>
      <c r="M42" s="30" t="inlineStr">
        <is>
          <t>0.20840</t>
        </is>
      </c>
      <c r="N42" s="32">
        <f>K42*D42</f>
        <v/>
      </c>
      <c r="O42" s="31" t="n"/>
    </row>
    <row r="43">
      <c r="A43" s="23" t="inlineStr">
        <is>
          <t>42</t>
        </is>
      </c>
      <c r="B43" s="24" t="inlineStr">
        <is>
          <t>지원/배선·커넥터</t>
        </is>
      </c>
      <c r="C43" s="25" t="inlineStr">
        <is>
          <t>Support</t>
        </is>
      </c>
      <c r="D43" s="25" t="inlineStr">
        <is>
          <t>배선/커넥터</t>
        </is>
      </c>
      <c r="E43" s="26" t="inlineStr">
        <is>
          <t>2-pin 0.1" pitch terminal block (optional convenience)</t>
        </is>
      </c>
      <c r="F43" s="3" t="n">
        <v>30</v>
      </c>
      <c r="G43" s="24" t="inlineStr">
        <is>
          <t>Adafruit</t>
        </is>
      </c>
      <c r="H43" s="28" t="inlineStr">
        <is>
          <t>Product ID 2138</t>
        </is>
      </c>
      <c r="I43" s="28" t="inlineStr">
        <is>
          <t>Adafruit</t>
        </is>
      </c>
      <c r="J43" s="34" t="n">
        <v>2138</v>
      </c>
      <c r="K43" s="29" t="inlineStr">
        <is>
          <t>Screw terminals make wiring easier (no crimp tools). Use for power, relay, etc.</t>
        </is>
      </c>
      <c r="L43" s="29" t="inlineStr">
        <is>
          <t>https://www.adafruit.com/product/2138</t>
        </is>
      </c>
      <c r="M43" s="31" t="n">
        <v>0.86</v>
      </c>
      <c r="N43" s="32">
        <f>K43*D43</f>
        <v/>
      </c>
      <c r="O43" s="31" t="n"/>
    </row>
    <row r="44">
      <c r="A44" s="23" t="inlineStr">
        <is>
          <t>43</t>
        </is>
      </c>
      <c r="B44" s="24" t="inlineStr">
        <is>
          <t>지원/배선·커넥터</t>
        </is>
      </c>
      <c r="C44" s="25" t="inlineStr">
        <is>
          <t>Support</t>
        </is>
      </c>
      <c r="D44" s="25" t="inlineStr">
        <is>
          <t>배선/커넥터</t>
        </is>
      </c>
      <c r="E44" s="26" t="inlineStr">
        <is>
          <t>Micro-USB cable (Nano 33 IoT to PC)</t>
        </is>
      </c>
      <c r="F44" s="3" t="n">
        <v>5</v>
      </c>
      <c r="G44" s="24" t="inlineStr">
        <is>
          <t>Adafruit</t>
        </is>
      </c>
      <c r="H44" s="28" t="inlineStr">
        <is>
          <t>Product ID 2185</t>
        </is>
      </c>
      <c r="I44" s="28" t="inlineStr">
        <is>
          <t>Adafruit</t>
        </is>
      </c>
      <c r="J44" s="34" t="n">
        <v>2185</v>
      </c>
      <c r="K44" s="29" t="inlineStr">
        <is>
          <t>USB-A to Micro-B cable (2m). Nano 33 IoT uses Micro-USB.</t>
        </is>
      </c>
      <c r="L44" s="29" t="inlineStr">
        <is>
          <t>https://www.adafruit.com/product/2185</t>
        </is>
      </c>
      <c r="M44" s="31" t="n">
        <v>4.95</v>
      </c>
      <c r="N44" s="32">
        <f>K44*D44</f>
        <v/>
      </c>
      <c r="O44" s="31" t="n"/>
    </row>
    <row r="45">
      <c r="A45" s="23" t="inlineStr">
        <is>
          <t>44</t>
        </is>
      </c>
      <c r="B45" s="24" t="inlineStr">
        <is>
          <t>지원/기구(스테이지 제외)</t>
        </is>
      </c>
      <c r="C45" s="25" t="inlineStr">
        <is>
          <t>Support</t>
        </is>
      </c>
      <c r="D45" s="25" t="inlineStr">
        <is>
          <t>기구/스테이지(제외)</t>
        </is>
      </c>
      <c r="E45" s="26" t="inlineStr">
        <is>
          <t>TMC2209 Stepper Motor Driver</t>
        </is>
      </c>
      <c r="F45" s="3" t="n">
        <v>5</v>
      </c>
      <c r="G45" s="24" t="inlineStr">
        <is>
          <t>Adafruit</t>
        </is>
      </c>
      <c r="H45" s="28" t="inlineStr">
        <is>
          <t>Product ID 6121</t>
        </is>
      </c>
      <c r="I45" s="28" t="inlineStr">
        <is>
          <t>Adafruit</t>
        </is>
      </c>
      <c r="J45" s="31" t="n">
        <v>6121</v>
      </c>
      <c r="K45" s="33" t="inlineStr">
        <is>
          <t>TMC2209 stepper driver breakout</t>
        </is>
      </c>
      <c r="L45" s="33" t="inlineStr">
        <is>
          <t>https://www.adafruit.com/product/6121</t>
        </is>
      </c>
      <c r="M45" s="31" t="n">
        <v>8.949999999999999</v>
      </c>
      <c r="N45" s="32">
        <f>K45*D45</f>
        <v/>
      </c>
      <c r="O45" s="31" t="n"/>
    </row>
    <row r="46">
      <c r="A46" s="23" t="inlineStr">
        <is>
          <t>45</t>
        </is>
      </c>
      <c r="B46" s="24" t="inlineStr">
        <is>
          <t>지원/배선·커넥터</t>
        </is>
      </c>
      <c r="C46" s="25" t="inlineStr">
        <is>
          <t>Support</t>
        </is>
      </c>
      <c r="D46" s="25" t="inlineStr">
        <is>
          <t>배선/커넥터</t>
        </is>
      </c>
      <c r="E46" s="26" t="inlineStr">
        <is>
          <t>Hook-up wire spool set, 22AWG stranded-core, 10 colors, 10 x 25ft (spools)</t>
        </is>
      </c>
      <c r="F46" s="3" t="n">
        <v>1</v>
      </c>
      <c r="G46" s="24" t="inlineStr">
        <is>
          <t>Adafruit</t>
        </is>
      </c>
      <c r="H46" s="28" t="inlineStr">
        <is>
          <t>Product ID 3175</t>
        </is>
      </c>
      <c r="I46" s="28" t="inlineStr">
        <is>
          <t>Adafruit</t>
        </is>
      </c>
      <c r="J46" s="34" t="n">
        <v>3175</v>
      </c>
      <c r="K46" s="29" t="inlineStr">
        <is>
          <t>Recommended main signal/harness wire for 4PP + TMC2206 STEP/DIR/EN/UART/limit switches. Stranded handles movement well.</t>
        </is>
      </c>
      <c r="L46" s="29" t="inlineStr">
        <is>
          <t>https://www.adafruit.com/product/3175</t>
        </is>
      </c>
      <c r="M46" s="31" t="n">
        <v>29.95</v>
      </c>
      <c r="N46" s="32">
        <f>K46*D46</f>
        <v/>
      </c>
      <c r="O46" s="31" t="n"/>
    </row>
    <row r="47">
      <c r="A47" s="23" t="inlineStr">
        <is>
          <t>46</t>
        </is>
      </c>
      <c r="B47" s="24" t="inlineStr">
        <is>
          <t>지원/배선·커넥터</t>
        </is>
      </c>
      <c r="C47" s="25" t="inlineStr">
        <is>
          <t>Support</t>
        </is>
      </c>
      <c r="D47" s="25" t="inlineStr">
        <is>
          <t>배선/커넥터</t>
        </is>
      </c>
      <c r="E47" s="26" t="inlineStr">
        <is>
          <t>Hook-up wire spool set, 22AWG solid-core, 10 colors, 10 x 25ft (spools)</t>
        </is>
      </c>
      <c r="F47" s="3" t="n">
        <v>1</v>
      </c>
      <c r="G47" s="24" t="inlineStr">
        <is>
          <t>Adafruit</t>
        </is>
      </c>
      <c r="H47" s="28" t="inlineStr">
        <is>
          <t>Product ID 3174</t>
        </is>
      </c>
      <c r="I47" s="28" t="inlineStr">
        <is>
          <t>Adafruit</t>
        </is>
      </c>
      <c r="J47" s="34" t="n">
        <v>3174</v>
      </c>
      <c r="K47" s="29" t="inlineStr">
        <is>
          <t>Optional: if you prefer very tidy board wiring and lots of color options. Solid-core holds bends well.</t>
        </is>
      </c>
      <c r="L47" s="29" t="inlineStr">
        <is>
          <t>https://www.adafruit.com/product/3174</t>
        </is>
      </c>
      <c r="M47" s="31" t="n">
        <v>29.95</v>
      </c>
      <c r="N47" s="32">
        <f>K47*D47</f>
        <v/>
      </c>
      <c r="O47" s="31" t="n"/>
    </row>
    <row r="48">
      <c r="A48" s="23" t="inlineStr">
        <is>
          <t>47</t>
        </is>
      </c>
      <c r="B48" s="24" t="inlineStr">
        <is>
          <t>지원/공구·소모품</t>
        </is>
      </c>
      <c r="C48" s="25" t="inlineStr">
        <is>
          <t>Support</t>
        </is>
      </c>
      <c r="D48" s="25" t="inlineStr">
        <is>
          <t>공구/소모품</t>
        </is>
      </c>
      <c r="E48" s="26" t="inlineStr">
        <is>
          <t>PCB vise / working station</t>
        </is>
      </c>
      <c r="F48" s="3" t="n">
        <v>1</v>
      </c>
      <c r="G48" s="24" t="inlineStr">
        <is>
          <t>Adafruit</t>
        </is>
      </c>
      <c r="H48" s="28" t="inlineStr">
        <is>
          <t>Product ID 5253</t>
        </is>
      </c>
      <c r="I48" s="28" t="inlineStr">
        <is>
          <t>Adafruit</t>
        </is>
      </c>
      <c r="J48" s="31" t="n">
        <v>5253</v>
      </c>
      <c r="K48" s="29" t="inlineStr">
        <is>
          <t>Holds boards while soldering. Any helping-hands works.</t>
        </is>
      </c>
      <c r="L48" s="33" t="inlineStr">
        <is>
          <t>https://www.adafruit.com/product/5253</t>
        </is>
      </c>
      <c r="M48" s="31" t="n">
        <v>29.95</v>
      </c>
      <c r="N48" s="32">
        <f>K48*D48</f>
        <v/>
      </c>
      <c r="O48" s="31" t="n"/>
    </row>
    <row r="49" ht="17.25" customHeight="1" s="17">
      <c r="A49" s="23" t="inlineStr">
        <is>
          <t>48</t>
        </is>
      </c>
      <c r="B49" s="24" t="inlineStr">
        <is>
          <t>지원/기구(스테이지 제외)</t>
        </is>
      </c>
      <c r="C49" s="25" t="inlineStr">
        <is>
          <t>Support</t>
        </is>
      </c>
      <c r="D49" s="25" t="inlineStr">
        <is>
          <t>기구/스테이지(제외)</t>
        </is>
      </c>
      <c r="E49" s="26" t="inlineStr">
        <is>
          <t>lead screw clamp</t>
        </is>
      </c>
      <c r="F49" s="4" t="n">
        <v>1</v>
      </c>
      <c r="G49" s="28" t="inlineStr">
        <is>
          <t>Bilda</t>
        </is>
      </c>
      <c r="H49" s="35" t="inlineStr">
        <is>
          <t>3504-0804-2109</t>
        </is>
      </c>
      <c r="I49" s="31" t="inlineStr">
        <is>
          <t>Bilda</t>
        </is>
      </c>
      <c r="J49" s="35" t="inlineStr">
        <is>
          <t>3504-0804-2109</t>
        </is>
      </c>
      <c r="K49" s="33" t="inlineStr">
        <is>
          <t>3504 Series Lead Screw Clamping Collar</t>
        </is>
      </c>
      <c r="L49" s="26" t="inlineStr">
        <is>
          <t>https://www.gobilda.com/3504-series-lead-screw-clamping-collar-8mm-lead-4-start-21mm-od-9mm-length/</t>
        </is>
      </c>
      <c r="M49" s="31" t="n">
        <v>6.99</v>
      </c>
      <c r="N49" s="32">
        <f>K49*D49</f>
        <v/>
      </c>
      <c r="O49" s="31" t="n"/>
    </row>
    <row r="50" ht="17.25" customHeight="1" s="17">
      <c r="A50" s="23" t="inlineStr">
        <is>
          <t>49</t>
        </is>
      </c>
      <c r="B50" s="24" t="inlineStr">
        <is>
          <t>지원/기구(스테이지 제외)</t>
        </is>
      </c>
      <c r="C50" s="25" t="inlineStr">
        <is>
          <t>Support</t>
        </is>
      </c>
      <c r="D50" s="25" t="inlineStr">
        <is>
          <t>기구/스테이지(제외)</t>
        </is>
      </c>
      <c r="E50" s="26" t="inlineStr">
        <is>
          <t>thrust ball bearing</t>
        </is>
      </c>
      <c r="F50" s="4" t="n">
        <v>2</v>
      </c>
      <c r="G50" s="28" t="inlineStr">
        <is>
          <t>Bilda</t>
        </is>
      </c>
      <c r="H50" s="35" t="inlineStr">
        <is>
          <t>1613-0516-0008</t>
        </is>
      </c>
      <c r="I50" s="31" t="inlineStr">
        <is>
          <t>Bilda</t>
        </is>
      </c>
      <c r="J50" s="35" t="inlineStr">
        <is>
          <t>1613-0516-0008</t>
        </is>
      </c>
      <c r="K50" s="33" t="inlineStr">
        <is>
          <t>8mm ID Thrust Ball Bearing (15.5mm OD, 5mm Thickness)</t>
        </is>
      </c>
      <c r="L50" s="33" t="inlineStr">
        <is>
          <t>https://www.gobilda.com/8mm-id-thrust-ball-bearing-15-5mm-od-5mm-thickness/</t>
        </is>
      </c>
      <c r="M50" s="31" t="n">
        <v>3.99</v>
      </c>
      <c r="N50" s="32">
        <f>K50*D50</f>
        <v/>
      </c>
      <c r="O50" s="31" t="n"/>
    </row>
    <row r="51" ht="17.25" customHeight="1" s="17">
      <c r="A51" s="23" t="inlineStr">
        <is>
          <t>50</t>
        </is>
      </c>
      <c r="B51" s="24" t="inlineStr">
        <is>
          <t>지원/기구(스테이지 제외)</t>
        </is>
      </c>
      <c r="C51" s="25" t="inlineStr">
        <is>
          <t>Support</t>
        </is>
      </c>
      <c r="D51" s="25" t="inlineStr">
        <is>
          <t>기구/스테이지(제외)</t>
        </is>
      </c>
      <c r="E51" s="26" t="inlineStr">
        <is>
          <t>slotted rail 144mm</t>
        </is>
      </c>
      <c r="F51" s="4" t="n">
        <v>1</v>
      </c>
      <c r="G51" s="28" t="inlineStr">
        <is>
          <t>Bilda</t>
        </is>
      </c>
      <c r="H51" s="35" t="inlineStr">
        <is>
          <t>1118-0024-0144</t>
        </is>
      </c>
      <c r="I51" s="31" t="inlineStr">
        <is>
          <t>Bilda</t>
        </is>
      </c>
      <c r="J51" s="35" t="inlineStr">
        <is>
          <t>1118-0024-0144</t>
        </is>
      </c>
      <c r="K51" s="33" t="inlineStr">
        <is>
          <t>1118 Series Open goRAIL® (144mm Length)</t>
        </is>
      </c>
      <c r="L51" s="33" t="inlineStr">
        <is>
          <t>https://www.gobilda.com/1118-series-open-gorail-144mm-length/</t>
        </is>
      </c>
      <c r="M51" s="31" t="n">
        <v>6.59</v>
      </c>
      <c r="N51" s="32">
        <f>K51*D51</f>
        <v/>
      </c>
      <c r="O51" s="31" t="n"/>
    </row>
    <row r="52" ht="17.25" customHeight="1" s="17">
      <c r="A52" s="23" t="inlineStr">
        <is>
          <t>51</t>
        </is>
      </c>
      <c r="B52" s="24" t="inlineStr">
        <is>
          <t>지원/기구(스테이지 제외)</t>
        </is>
      </c>
      <c r="C52" s="25" t="inlineStr">
        <is>
          <t>Support</t>
        </is>
      </c>
      <c r="D52" s="25" t="inlineStr">
        <is>
          <t>기구/스테이지(제외)</t>
        </is>
      </c>
      <c r="E52" s="26" t="inlineStr">
        <is>
          <t>slotted rail 192mm</t>
        </is>
      </c>
      <c r="F52" s="4" t="n">
        <v>1</v>
      </c>
      <c r="G52" s="28" t="inlineStr">
        <is>
          <t>Bilda</t>
        </is>
      </c>
      <c r="H52" s="35" t="inlineStr">
        <is>
          <t>1118-0024-0192</t>
        </is>
      </c>
      <c r="I52" s="31" t="inlineStr">
        <is>
          <t>Bilda</t>
        </is>
      </c>
      <c r="J52" s="35" t="inlineStr">
        <is>
          <t>1118-0024-0192</t>
        </is>
      </c>
      <c r="K52" s="33" t="inlineStr">
        <is>
          <t>1118 Series Open goRAIL® (192mm Length)</t>
        </is>
      </c>
      <c r="L52" s="33" t="inlineStr">
        <is>
          <t>https://www.gobilda.com/1118-series-open-gorail-192mm-length/</t>
        </is>
      </c>
      <c r="M52" s="31" t="n">
        <v>7.79</v>
      </c>
      <c r="N52" s="32">
        <f>K52*D52</f>
        <v/>
      </c>
      <c r="O52" s="31" t="n"/>
    </row>
    <row r="53" ht="17.25" customHeight="1" s="17">
      <c r="A53" s="23" t="inlineStr">
        <is>
          <t>52</t>
        </is>
      </c>
      <c r="B53" s="24" t="inlineStr">
        <is>
          <t>지원/기구(스테이지 제외)</t>
        </is>
      </c>
      <c r="C53" s="25" t="inlineStr">
        <is>
          <t>Support</t>
        </is>
      </c>
      <c r="D53" s="25" t="inlineStr">
        <is>
          <t>기구/스테이지(제외)</t>
        </is>
      </c>
      <c r="E53" s="26" t="inlineStr">
        <is>
          <t>slotted rail 96mm</t>
        </is>
      </c>
      <c r="F53" s="4" t="n">
        <v>1</v>
      </c>
      <c r="G53" s="28" t="inlineStr">
        <is>
          <t>Bilda</t>
        </is>
      </c>
      <c r="H53" s="35" t="inlineStr">
        <is>
          <t>1118-0024-0096</t>
        </is>
      </c>
      <c r="I53" s="31" t="inlineStr">
        <is>
          <t>Bilda</t>
        </is>
      </c>
      <c r="J53" s="35" t="inlineStr">
        <is>
          <t>1118-0024-0096</t>
        </is>
      </c>
      <c r="K53" s="26" t="inlineStr">
        <is>
          <t>1118 Series Open goRAIL® (96mm Length)</t>
        </is>
      </c>
      <c r="L53" s="33" t="n"/>
      <c r="M53" s="31" t="n">
        <v>5.39</v>
      </c>
      <c r="N53" s="32">
        <f>K53*D53</f>
        <v/>
      </c>
      <c r="O53" s="31" t="n"/>
    </row>
    <row r="54" ht="17.25" customHeight="1" s="17">
      <c r="A54" s="23" t="inlineStr">
        <is>
          <t>53</t>
        </is>
      </c>
      <c r="B54" s="24" t="inlineStr">
        <is>
          <t>지원/기구(스테이지 제외)</t>
        </is>
      </c>
      <c r="C54" s="25" t="inlineStr">
        <is>
          <t>Support</t>
        </is>
      </c>
      <c r="D54" s="25" t="inlineStr">
        <is>
          <t>기구/스테이지(제외)</t>
        </is>
      </c>
      <c r="E54" s="26" t="inlineStr">
        <is>
          <t>flanged ball bearing</t>
        </is>
      </c>
      <c r="F54" s="4" t="n">
        <v>1</v>
      </c>
      <c r="G54" s="28" t="inlineStr">
        <is>
          <t>Bilda</t>
        </is>
      </c>
      <c r="H54" s="35" t="inlineStr">
        <is>
          <t>1611-0514-0008</t>
        </is>
      </c>
      <c r="I54" s="31" t="inlineStr">
        <is>
          <t>Bilda</t>
        </is>
      </c>
      <c r="J54" s="35" t="inlineStr">
        <is>
          <t>1611-0514-0008</t>
        </is>
      </c>
      <c r="K54" s="33" t="inlineStr">
        <is>
          <t>1611 Series Flanged Ball Bearing (8mm ID x 14mm OD, 5mm Thickness) - 2 Pack</t>
        </is>
      </c>
      <c r="L54" s="33" t="inlineStr">
        <is>
          <t>https://www.gobilda.com/1611-series-flanged-ball-bearing-8mm-id-x-14mm-od-5mm-thickness-2-pack/</t>
        </is>
      </c>
      <c r="M54" s="31" t="n">
        <v>3.99</v>
      </c>
      <c r="N54" s="32">
        <f>K54*D54</f>
        <v/>
      </c>
      <c r="O54" s="31" t="n"/>
    </row>
    <row r="55" ht="17.25" customHeight="1" s="17">
      <c r="A55" s="23" t="inlineStr">
        <is>
          <t>54</t>
        </is>
      </c>
      <c r="B55" s="24" t="inlineStr">
        <is>
          <t>지원/기구(스테이지 제외)</t>
        </is>
      </c>
      <c r="C55" s="25" t="inlineStr">
        <is>
          <t>Support</t>
        </is>
      </c>
      <c r="D55" s="25" t="inlineStr">
        <is>
          <t>기구/스테이지(제외)</t>
        </is>
      </c>
      <c r="E55" s="26" t="inlineStr">
        <is>
          <t>lead screw 150mm</t>
        </is>
      </c>
      <c r="F55" s="4" t="n">
        <v>1</v>
      </c>
      <c r="G55" s="28" t="inlineStr">
        <is>
          <t>Bilda</t>
        </is>
      </c>
      <c r="H55" s="35" t="inlineStr">
        <is>
          <t>3501-0804-0150</t>
        </is>
      </c>
      <c r="I55" s="31" t="inlineStr">
        <is>
          <t>Bilda</t>
        </is>
      </c>
      <c r="J55" s="35" t="inlineStr">
        <is>
          <t>3501-0804-0150</t>
        </is>
      </c>
      <c r="K55" s="33" t="inlineStr">
        <is>
          <t>3501 Series Lead Screw (8mm Lead, 4 Start, 150mm Length)</t>
        </is>
      </c>
      <c r="L55" s="33" t="inlineStr">
        <is>
          <t>https://www.gobilda.com/3501-series-lead-screw-8mm-lead-4-start-150mm-length/</t>
        </is>
      </c>
      <c r="M55" s="31" t="n">
        <v>6.99</v>
      </c>
      <c r="N55" s="32">
        <f>K55*D55</f>
        <v/>
      </c>
      <c r="O55" s="31" t="n"/>
    </row>
    <row r="56" ht="17.25" customHeight="1" s="17">
      <c r="A56" s="23" t="inlineStr">
        <is>
          <t>55</t>
        </is>
      </c>
      <c r="B56" s="24" t="inlineStr">
        <is>
          <t>지원/기구(스테이지 제외)</t>
        </is>
      </c>
      <c r="C56" s="25" t="inlineStr">
        <is>
          <t>Support</t>
        </is>
      </c>
      <c r="D56" s="25" t="inlineStr">
        <is>
          <t>기구/스테이지(제외)</t>
        </is>
      </c>
      <c r="E56" s="26" t="inlineStr">
        <is>
          <t>lead screw 250mm</t>
        </is>
      </c>
      <c r="F56" s="4" t="n">
        <v>1</v>
      </c>
      <c r="G56" s="28" t="inlineStr">
        <is>
          <t>Bilda</t>
        </is>
      </c>
      <c r="H56" s="35" t="inlineStr">
        <is>
          <t>3501-0804-0250</t>
        </is>
      </c>
      <c r="I56" s="31" t="inlineStr">
        <is>
          <t>Bilda</t>
        </is>
      </c>
      <c r="J56" s="35" t="inlineStr">
        <is>
          <t>3501-0804-0250</t>
        </is>
      </c>
      <c r="K56" s="33" t="inlineStr">
        <is>
          <t>3501 Series Lead Screw (8mm Lead, 4 Start, 250mm Length)</t>
        </is>
      </c>
      <c r="L56" s="33" t="inlineStr">
        <is>
          <t>https://www.gobilda.com/3501-series-lead-screw-8mm-lead-4-start-250mm-length/</t>
        </is>
      </c>
      <c r="M56" s="31" t="n">
        <v>8.99</v>
      </c>
      <c r="N56" s="32">
        <f>K56*D56</f>
        <v/>
      </c>
      <c r="O56" s="31" t="n"/>
    </row>
    <row r="57" ht="17.25" customHeight="1" s="17">
      <c r="A57" s="23" t="inlineStr">
        <is>
          <t>56</t>
        </is>
      </c>
      <c r="B57" s="24" t="inlineStr">
        <is>
          <t>지원/기구(스테이지 제외)</t>
        </is>
      </c>
      <c r="C57" s="25" t="inlineStr">
        <is>
          <t>Support</t>
        </is>
      </c>
      <c r="D57" s="25" t="inlineStr">
        <is>
          <t>기구/스테이지(제외)</t>
        </is>
      </c>
      <c r="E57" s="26" t="inlineStr">
        <is>
          <t>lead screw 200mm</t>
        </is>
      </c>
      <c r="F57" s="4" t="n">
        <v>1</v>
      </c>
      <c r="G57" s="28" t="inlineStr">
        <is>
          <t>Bilda</t>
        </is>
      </c>
      <c r="H57" s="35" t="inlineStr">
        <is>
          <t>3501-0804-0200</t>
        </is>
      </c>
      <c r="I57" s="31" t="inlineStr">
        <is>
          <t>Bilda</t>
        </is>
      </c>
      <c r="J57" s="35" t="inlineStr">
        <is>
          <t>3501-0804-0200</t>
        </is>
      </c>
      <c r="K57" s="33" t="inlineStr">
        <is>
          <t>3501 Series Lead Screw (8mm Lead, 4 Start, 200mm Length)</t>
        </is>
      </c>
      <c r="L57" s="33" t="inlineStr">
        <is>
          <t>https://www.gobilda.com/3501-series-lead-screw-8mm-lead-4-start-200mm-length/</t>
        </is>
      </c>
      <c r="M57" s="31" t="n">
        <v>7.99</v>
      </c>
      <c r="N57" s="32">
        <f>K57*D57</f>
        <v/>
      </c>
      <c r="O57" s="31" t="n"/>
    </row>
    <row r="58">
      <c r="A58" s="23" t="inlineStr">
        <is>
          <t>57</t>
        </is>
      </c>
      <c r="B58" s="24" t="inlineStr">
        <is>
          <t>지원/기구(스테이지 제외)</t>
        </is>
      </c>
      <c r="C58" s="25" t="inlineStr">
        <is>
          <t>Support</t>
        </is>
      </c>
      <c r="D58" s="25" t="inlineStr">
        <is>
          <t>기구/스테이지(제외)</t>
        </is>
      </c>
      <c r="E58" s="26" t="inlineStr">
        <is>
          <t>lead screw nut</t>
        </is>
      </c>
      <c r="F58" s="4" t="n">
        <v>1</v>
      </c>
      <c r="G58" s="28" t="inlineStr">
        <is>
          <t>Bilda</t>
        </is>
      </c>
      <c r="H58" s="31" t="inlineStr">
        <is>
          <t>3503-0804-0038</t>
        </is>
      </c>
      <c r="I58" s="31" t="inlineStr">
        <is>
          <t>Bilda</t>
        </is>
      </c>
      <c r="J58" s="31" t="inlineStr">
        <is>
          <t>3503-0804-0038</t>
        </is>
      </c>
      <c r="K58" s="33" t="inlineStr">
        <is>
          <t>3503 Series Lead Screw Nut for Open goRAIL® (8mm Lead, 4 Start, 38mm Length)</t>
        </is>
      </c>
      <c r="L58" s="33" t="inlineStr">
        <is>
          <t>https://www.gobilda.com/3503-series-lead-screw-nut-for-open-gorail-8mm-lead-4-start-38mm-length/</t>
        </is>
      </c>
      <c r="M58" s="31" t="n">
        <v>12.99</v>
      </c>
      <c r="N58" s="32">
        <f>K58*D58</f>
        <v/>
      </c>
      <c r="O58" s="31" t="n"/>
    </row>
    <row r="59">
      <c r="A59" s="23" t="inlineStr">
        <is>
          <t>58</t>
        </is>
      </c>
      <c r="B59" s="24" t="inlineStr">
        <is>
          <t>지원/기구(스테이지 제외)</t>
        </is>
      </c>
      <c r="C59" s="25" t="inlineStr">
        <is>
          <t>Support</t>
        </is>
      </c>
      <c r="D59" s="25" t="inlineStr">
        <is>
          <t>기구/스테이지(제외)</t>
        </is>
      </c>
      <c r="E59" s="26" t="inlineStr">
        <is>
          <t>shaft coupler 8x5mm</t>
        </is>
      </c>
      <c r="F59" s="4" t="n">
        <v>1</v>
      </c>
      <c r="G59" s="28" t="inlineStr">
        <is>
          <t>Bilda</t>
        </is>
      </c>
      <c r="H59" s="31" t="inlineStr">
        <is>
          <t>4002-0005-0008</t>
        </is>
      </c>
      <c r="I59" s="31" t="inlineStr">
        <is>
          <t>Bilda</t>
        </is>
      </c>
      <c r="J59" s="31" t="inlineStr">
        <is>
          <t>4002-0005-0008</t>
        </is>
      </c>
      <c r="K59" s="33" t="inlineStr">
        <is>
          <t>4002 Series Flexible Clamping Shaft Coupler (5mm Round Bore to 8mm Round Bore)</t>
        </is>
      </c>
      <c r="L59" s="33" t="inlineStr">
        <is>
          <t>https://www.gobilda.com/4002-series-flexible-clamping-shaft-coupler-5mm-round-bore-to-8mm-round-bore/</t>
        </is>
      </c>
      <c r="M59" s="31" t="n">
        <v>6.99</v>
      </c>
      <c r="N59" s="32">
        <f>K59*D59</f>
        <v/>
      </c>
      <c r="O59" s="31" t="n"/>
    </row>
    <row r="60">
      <c r="A60" s="23" t="inlineStr">
        <is>
          <t>59</t>
        </is>
      </c>
      <c r="B60" s="24" t="inlineStr">
        <is>
          <t>지원/기구(스테이지 제외)</t>
        </is>
      </c>
      <c r="C60" s="25" t="inlineStr">
        <is>
          <t>Support</t>
        </is>
      </c>
      <c r="D60" s="25" t="inlineStr">
        <is>
          <t>기구/스테이지(제외)</t>
        </is>
      </c>
      <c r="E60" s="26" t="inlineStr">
        <is>
          <t>shaft coupler 8x6mm</t>
        </is>
      </c>
      <c r="F60" s="4" t="n">
        <v>1</v>
      </c>
      <c r="G60" s="28" t="inlineStr">
        <is>
          <t>Bilda</t>
        </is>
      </c>
      <c r="H60" s="31" t="inlineStr">
        <is>
          <t>4002-0006-0008</t>
        </is>
      </c>
      <c r="I60" s="31" t="inlineStr">
        <is>
          <t>Bilda</t>
        </is>
      </c>
      <c r="J60" s="31" t="inlineStr">
        <is>
          <t>4002-0006-0008</t>
        </is>
      </c>
      <c r="K60" s="33" t="inlineStr">
        <is>
          <t>4002 Series Flexible Clamping Shaft Coupler (6mm Round Bore to 8mm Round Bore)</t>
        </is>
      </c>
      <c r="L60" s="33" t="inlineStr">
        <is>
          <t>https://www.gobilda.com/4002-series-flexible-clamping-shaft-coupler-6mm-round-bore-to-8mm-round-bore/</t>
        </is>
      </c>
      <c r="M60" s="31" t="n">
        <v>6.99</v>
      </c>
      <c r="N60" s="32">
        <f>K60*D60</f>
        <v/>
      </c>
      <c r="O60" s="31" t="n"/>
    </row>
    <row r="61" ht="18" customHeight="1" s="17">
      <c r="A61" s="23" t="inlineStr">
        <is>
          <t>60</t>
        </is>
      </c>
      <c r="B61" s="24" t="inlineStr">
        <is>
          <t>지원/기구(스테이지 제외)</t>
        </is>
      </c>
      <c r="C61" s="25" t="inlineStr">
        <is>
          <t>Support</t>
        </is>
      </c>
      <c r="D61" s="25" t="inlineStr">
        <is>
          <t>기구/스테이지(제외)</t>
        </is>
      </c>
      <c r="E61" s="26" t="inlineStr">
        <is>
          <t>Stepper Motor</t>
        </is>
      </c>
      <c r="F61" s="4" t="n">
        <v>2</v>
      </c>
      <c r="G61" s="24" t="inlineStr">
        <is>
          <t>Stepperonline</t>
        </is>
      </c>
      <c r="H61" s="36" t="inlineStr">
        <is>
          <t>17HS08-1004S</t>
        </is>
      </c>
      <c r="I61" s="24" t="inlineStr">
        <is>
          <t>Stepperonline</t>
        </is>
      </c>
      <c r="J61" s="36" t="inlineStr">
        <is>
          <t>17HS08-1004S</t>
        </is>
      </c>
      <c r="K61" s="33" t="inlineStr">
        <is>
          <t>Nema 17 Bipolar Stepper Motor 1.8deg 16Ncm(22.66oz.in) 1A Extruder Motor 42x42x21.5mm 4 Wires</t>
        </is>
      </c>
      <c r="L61" s="33" t="n"/>
      <c r="M61" s="31" t="n">
        <v>7.99</v>
      </c>
      <c r="N61" s="32">
        <f>K61*D61</f>
        <v/>
      </c>
      <c r="O61" s="31" t="n"/>
    </row>
    <row r="62">
      <c r="A62" s="23" t="inlineStr">
        <is>
          <t>61</t>
        </is>
      </c>
      <c r="B62" s="24" t="inlineStr">
        <is>
          <t>지원/기구(스테이지 제외)</t>
        </is>
      </c>
      <c r="C62" s="25" t="inlineStr">
        <is>
          <t>Support</t>
        </is>
      </c>
      <c r="D62" s="25" t="inlineStr">
        <is>
          <t>기구/스테이지(제외)</t>
        </is>
      </c>
      <c r="E62" s="26" t="inlineStr">
        <is>
          <t>Brass Tapered Heat-Set Inserts for Plastic</t>
        </is>
      </c>
      <c r="F62" s="4" t="n">
        <v>1</v>
      </c>
      <c r="G62" s="24" t="inlineStr">
        <is>
          <t>McMaster</t>
        </is>
      </c>
      <c r="H62" s="24" t="inlineStr">
        <is>
          <t>94180A331</t>
        </is>
      </c>
      <c r="I62" s="24" t="inlineStr">
        <is>
          <t>McMaster-Carr</t>
        </is>
      </c>
      <c r="J62" s="24" t="inlineStr">
        <is>
          <t>94180A331</t>
        </is>
      </c>
      <c r="K62" s="26" t="inlineStr">
        <is>
          <t xml:space="preserve"> M3 x 0.5 mm Thread Size, 3.8 mm Installed Length</t>
        </is>
      </c>
      <c r="L62" s="26" t="inlineStr">
        <is>
          <t>https://www.mcmaster.com/94180A331/</t>
        </is>
      </c>
      <c r="M62" s="24" t="n">
        <v>20.44</v>
      </c>
      <c r="N62" s="32">
        <f>K62*D62</f>
        <v/>
      </c>
      <c r="O62" s="25" t="n"/>
    </row>
    <row r="63">
      <c r="A63" s="23" t="inlineStr">
        <is>
          <t>62</t>
        </is>
      </c>
      <c r="B63" s="24" t="inlineStr">
        <is>
          <t>지원/기구(스테이지 제외)</t>
        </is>
      </c>
      <c r="C63" s="25" t="inlineStr">
        <is>
          <t>Support</t>
        </is>
      </c>
      <c r="D63" s="25" t="inlineStr">
        <is>
          <t>기구/스테이지(제외)</t>
        </is>
      </c>
      <c r="E63" s="26" t="inlineStr">
        <is>
          <t>Brass Tapered Heat-Set Inserts for Plastic</t>
        </is>
      </c>
      <c r="F63" s="4" t="n">
        <v>1</v>
      </c>
      <c r="G63" s="24" t="inlineStr">
        <is>
          <t>McMaster</t>
        </is>
      </c>
      <c r="H63" s="24" t="inlineStr">
        <is>
          <t>94180A351</t>
        </is>
      </c>
      <c r="I63" s="24" t="inlineStr">
        <is>
          <t>McMaster-Carr</t>
        </is>
      </c>
      <c r="J63" s="24" t="inlineStr">
        <is>
          <t>94180A351</t>
        </is>
      </c>
      <c r="K63" s="26" t="inlineStr">
        <is>
          <t>M4 x 0.7 mm Thread Size, 4.7 mm Installed Length</t>
        </is>
      </c>
      <c r="L63" s="26" t="inlineStr">
        <is>
          <t>https://www.mcmaster.com/94180A351/</t>
        </is>
      </c>
      <c r="M63" s="24" t="n">
        <v>21.82</v>
      </c>
      <c r="N63" s="32">
        <f>K63*D63</f>
        <v/>
      </c>
      <c r="O63" s="25" t="n"/>
    </row>
    <row r="64">
      <c r="A64" s="3" t="n"/>
      <c r="B64" s="25" t="n"/>
      <c r="C64" s="25" t="n"/>
      <c r="D64" s="25" t="n"/>
      <c r="E64" s="37" t="n"/>
      <c r="G64" s="25" t="n"/>
      <c r="H64" s="25" t="n"/>
      <c r="I64" s="25" t="n"/>
      <c r="J64" s="25" t="n"/>
      <c r="K64" s="37" t="n"/>
      <c r="L64" s="37" t="n"/>
      <c r="M64" s="25" t="n"/>
      <c r="N64" s="25" t="n"/>
      <c r="O64" s="25" t="n"/>
    </row>
    <row r="65">
      <c r="A65" s="3" t="n"/>
      <c r="B65" s="25" t="n"/>
      <c r="C65" s="25" t="n"/>
      <c r="D65" s="25" t="n"/>
      <c r="E65" s="37" t="n"/>
      <c r="G65" s="25" t="n"/>
      <c r="H65" s="25" t="n"/>
      <c r="I65" s="25" t="n"/>
      <c r="J65" s="25" t="n"/>
      <c r="K65" s="37" t="n"/>
      <c r="L65" s="37" t="n"/>
      <c r="M65" s="24" t="inlineStr">
        <is>
          <t>subtotal</t>
        </is>
      </c>
      <c r="N65" s="27">
        <f>SUM(L2:L63)</f>
        <v/>
      </c>
      <c r="O65" s="25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Hwang, Changhyun</dc:creator>
  <dcterms:created xmlns:dcterms="http://purl.org/dc/terms/" xmlns:xsi="http://www.w3.org/2001/XMLSchema-instance" xsi:type="dcterms:W3CDTF">2026-02-02T21:38:12Z</dcterms:created>
  <dcterms:modified xmlns:dcterms="http://purl.org/dc/terms/" xmlns:xsi="http://www.w3.org/2001/XMLSchema-instance" xsi:type="dcterms:W3CDTF">2026-02-03T04:50:06Z</dcterms:modified>
  <cp:lastModifiedBy>Hwang, Changhyun</cp:lastModifiedBy>
</cp:coreProperties>
</file>