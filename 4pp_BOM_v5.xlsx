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hyun\Downloads\"/>
    </mc:Choice>
  </mc:AlternateContent>
  <xr:revisionPtr revIDLastSave="0" documentId="8_{B03F4517-01D4-46E1-BF9C-459F713CBC24}" xr6:coauthVersionLast="47" xr6:coauthVersionMax="47" xr10:uidLastSave="{00000000-0000-0000-0000-000000000000}"/>
  <bookViews>
    <workbookView xWindow="-120" yWindow="-120" windowWidth="29040" windowHeight="15720" xr2:uid="{E6CF29CC-0435-4E2D-8AF0-AAED84142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1" l="1"/>
  <c r="L41" i="1"/>
  <c r="L40" i="1"/>
  <c r="L12" i="1"/>
  <c r="L13" i="1"/>
  <c r="L14" i="1"/>
  <c r="L26" i="1"/>
  <c r="L27" i="1"/>
  <c r="L28" i="1"/>
  <c r="L29" i="1"/>
  <c r="L63" i="1"/>
  <c r="L62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37" i="1"/>
  <c r="L38" i="1"/>
  <c r="L39" i="1"/>
  <c r="L36" i="1"/>
  <c r="L35" i="1"/>
  <c r="L34" i="1"/>
  <c r="L48" i="1"/>
  <c r="L33" i="1"/>
  <c r="L45" i="1"/>
  <c r="L23" i="1"/>
  <c r="L9" i="1"/>
  <c r="L10" i="1"/>
  <c r="L3" i="1"/>
  <c r="L4" i="1"/>
  <c r="L5" i="1"/>
  <c r="L6" i="1"/>
  <c r="L7" i="1"/>
  <c r="L8" i="1"/>
  <c r="L11" i="1"/>
  <c r="L15" i="1"/>
  <c r="L16" i="1"/>
  <c r="L17" i="1"/>
  <c r="L18" i="1"/>
  <c r="L19" i="1"/>
  <c r="L20" i="1"/>
  <c r="L21" i="1"/>
  <c r="L22" i="1"/>
  <c r="L24" i="1"/>
  <c r="L25" i="1"/>
  <c r="L43" i="1"/>
  <c r="L31" i="1"/>
  <c r="L32" i="1"/>
  <c r="L44" i="1"/>
  <c r="L46" i="1"/>
  <c r="L47" i="1"/>
  <c r="L30" i="1"/>
  <c r="L2" i="1"/>
  <c r="L65" i="1" l="1"/>
</calcChain>
</file>

<file path=xl/sharedStrings.xml><?xml version="1.0" encoding="utf-8"?>
<sst xmlns="http://schemas.openxmlformats.org/spreadsheetml/2006/main" count="572" uniqueCount="424">
  <si>
    <t>Category</t>
  </si>
  <si>
    <t>Item</t>
  </si>
  <si>
    <t>Qty</t>
  </si>
  <si>
    <t>Supplier</t>
  </si>
  <si>
    <t>Supplier_PN</t>
  </si>
  <si>
    <t>Mfr</t>
  </si>
  <si>
    <t>Mfr_PN</t>
  </si>
  <si>
    <t>Specs/Notes</t>
  </si>
  <si>
    <t>URL</t>
  </si>
  <si>
    <t>Core / Controller</t>
  </si>
  <si>
    <t>Arduino Nano 33 IoT (3.3V)</t>
  </si>
  <si>
    <t>Digi-Key</t>
  </si>
  <si>
    <t>1050-ABX00027-ND</t>
  </si>
  <si>
    <t>Arduino</t>
  </si>
  <si>
    <t>ABX00027</t>
  </si>
  <si>
    <t>3.3V logic (no level shifting needed with ADS1220). USB-powered.</t>
  </si>
  <si>
    <t>https://www.digikey.com/en/products/detail/arduino/ABX00027/10239968</t>
  </si>
  <si>
    <t>unit pirce</t>
    <phoneticPr fontId="4" type="noConversion"/>
  </si>
  <si>
    <t>total</t>
    <phoneticPr fontId="4" type="noConversion"/>
  </si>
  <si>
    <t>Core / ADC</t>
  </si>
  <si>
    <t>ADS1220 24-bit ADC breakout</t>
  </si>
  <si>
    <t>1188-BB-ADS1220-ND</t>
  </si>
  <si>
    <t>Olimex LTD</t>
  </si>
  <si>
    <t>BB-ADS1220</t>
  </si>
  <si>
    <t>24-bit ΔΣ ADC w/ PGA; SPI. Measures V(2-3) and also shunt current if desired.</t>
  </si>
  <si>
    <t>https://www.digikey.com/en/products/detail/olimex-ltd/BB-ADS1220/21662042</t>
  </si>
  <si>
    <t>Current Source (PoC-simple)</t>
  </si>
  <si>
    <t>Adjustable current source IC (TO-92)</t>
  </si>
  <si>
    <t>LM334ZNS/NOPB-ND</t>
  </si>
  <si>
    <t>Texas Instruments</t>
  </si>
  <si>
    <t>LM334Z/NOPB</t>
  </si>
  <si>
    <t>Sets current via Rset: I≈67.7mV/Rset (@25°C). Use with 12V supply.</t>
  </si>
  <si>
    <t>https://www.digikey.com/en/products/detail/texas-instruments/LM334Z-NOPB/6215</t>
  </si>
  <si>
    <t>Rset for 1.0 mA (68.1Ω, 0.1%)</t>
  </si>
  <si>
    <t>1712-YR1B68R1CCCT-ND</t>
  </si>
  <si>
    <t>TE Connectivity Passive Product</t>
  </si>
  <si>
    <t>YR1B68R1CC</t>
  </si>
  <si>
    <t>I≈0.0677/68.1≈0.994 mA at 25°C. Axial (easy solder).</t>
  </si>
  <si>
    <t>https://www.digikey.com/en/products/detail/te-connectivity-passive-product/YR1B68R1CC/2390921</t>
  </si>
  <si>
    <t>Rset for 100 µA (681Ω, 0.1%)</t>
  </si>
  <si>
    <t>1712-YR1B681RCCCT-ND</t>
  </si>
  <si>
    <t>YR1B681RCC</t>
  </si>
  <si>
    <t>I≈0.0677/681≈99.4 µA at 25°C. Axial (easy solder).</t>
  </si>
  <si>
    <t>https://www.digikey.com/en/products/detail/te-connectivity-passive-product/YR1B681RCC/2390920</t>
  </si>
  <si>
    <t>Current Sense (recommended)</t>
  </si>
  <si>
    <t>Shunt resistor for current monitor (100Ω, 0.1%)</t>
  </si>
  <si>
    <t>13-MFP-25BRD52-100RCT-ND</t>
  </si>
  <si>
    <t>YAGEO</t>
  </si>
  <si>
    <t>MFP-25BRD52-100R</t>
  </si>
  <si>
    <t>Place in series with current; read Vshunt with ADS1220 to compute I.</t>
  </si>
  <si>
    <t>https://www.digikey.com/en/products/detail/yageo/MFP-25BRD52-100R/2058796</t>
  </si>
  <si>
    <t>Current Reversal (upgrade)</t>
  </si>
  <si>
    <t>DPDT relay, 12V coil (through-hole)</t>
  </si>
  <si>
    <t>255-1002-5-ND</t>
  </si>
  <si>
    <t>Panasonic Electric Works</t>
  </si>
  <si>
    <t>TQ2-12V</t>
  </si>
  <si>
    <t>Swap I+ / I- to do +I/-I measurements; improves stability.</t>
  </si>
  <si>
    <t>https://www.digikey.com/en/products/detail/panasonic-electric-works/TQ2-12V/251774</t>
  </si>
  <si>
    <t>Relay Driver</t>
  </si>
  <si>
    <t>NPN transistor (TO-92)</t>
  </si>
  <si>
    <t>Flyback diode for relay coil</t>
  </si>
  <si>
    <t>Base resistor (1kΩ, 0.1% optional; 1% OK)</t>
  </si>
  <si>
    <t>A105942CT-ND</t>
  </si>
  <si>
    <t>YR1B1K0CC</t>
  </si>
  <si>
    <t>Use 1kΩ from Arduino pin to PN2222A base.</t>
  </si>
  <si>
    <t>https://www.digikey.com/en/products/detail/te-connectivity-passive-product/YR1B1K0CC/2390772</t>
  </si>
  <si>
    <t>ADC Input Protection</t>
  </si>
  <si>
    <t>Series resistors for ADC inputs (1kΩ, 1%)</t>
  </si>
  <si>
    <t>1.00KXBK-ND</t>
  </si>
  <si>
    <t>MFR-25FBF52-1K</t>
  </si>
  <si>
    <t>1kΩ axial 1% (through-hole). Put in series with V+ and V- into ADC to limit current during faults.</t>
  </si>
  <si>
    <t>https://www.digikey.com/en/products/detail/yageo/MFR-25FBF52-1K/13011</t>
  </si>
  <si>
    <t>Power</t>
  </si>
  <si>
    <t>Pleading simple external power. USB powers Arduino; tie grounds between USB GND and 12V GND.</t>
  </si>
  <si>
    <t>Switchcraft Inc.</t>
  </si>
  <si>
    <t>Power Safety (recommended)</t>
  </si>
  <si>
    <t>Fuse, 5x20mm, 500mA slow-blow</t>
  </si>
  <si>
    <t>0215.500MXEP-ND</t>
  </si>
  <si>
    <t>Littelfuse Inc.</t>
  </si>
  <si>
    <t>0215.500MXEP</t>
  </si>
  <si>
    <t>Optional but good practice on the 12V input.</t>
  </si>
  <si>
    <t>https://www.digikey.com/en/products/detail/littelfuse-inc/0215-500MXEP/777421</t>
  </si>
  <si>
    <t>Fuse holder, 5x20mm PCB clip (pair)</t>
  </si>
  <si>
    <t>732-11373-ND</t>
  </si>
  <si>
    <t>Würth Elektronik</t>
  </si>
  <si>
    <t>696105003002</t>
  </si>
  <si>
    <t>Two clips per fuse (buy 2 fuses worth = 4 clips). Alternatively use a panel fuse holder.</t>
  </si>
  <si>
    <t>https://www.digikey.com/en/products/detail/w%C3%BCrth-elektronik/696105003002/7244557</t>
  </si>
  <si>
    <t>Power Control (optional)</t>
  </si>
  <si>
    <t>Toggle switch SPST, panel mount</t>
  </si>
  <si>
    <t>2057-SW-T3-1A-A-A3-S1-ND</t>
  </si>
  <si>
    <t>Adam Tech</t>
  </si>
  <si>
    <t>SW-T3-1A-A-A3-S1</t>
  </si>
  <si>
    <t>Optional on/off for 12V input.</t>
  </si>
  <si>
    <t>https://www.digikey.com/en/products/detail/adam-tech/SW-T3-1A-A-A3-S1/15284460</t>
  </si>
  <si>
    <t>Power LED, 3mm red through-hole</t>
  </si>
  <si>
    <t>4491-LED3RED-ND</t>
  </si>
  <si>
    <t>Lumimax Optoelectronic Technology</t>
  </si>
  <si>
    <t>LED3RED</t>
  </si>
  <si>
    <t>Optional power indicator.</t>
  </si>
  <si>
    <t>https://www.digikey.com/en/products/detail/lumimax-optoelectronic-technology/LED3RED/24389652</t>
  </si>
  <si>
    <t>Passives (Decoupling)</t>
  </si>
  <si>
    <t>Electrolytic capacitor 10µF 25V radial (through-hole)</t>
  </si>
  <si>
    <t>P15799CT-ND</t>
  </si>
  <si>
    <t>Panasonic Electronic Components</t>
  </si>
  <si>
    <t>EEA-GA1E100H</t>
  </si>
  <si>
    <t>Across 12V rail near relay/current source.</t>
  </si>
  <si>
    <t>https://www.digikey.com/en/products/detail/panasonic-electronic-components/EEA-GA1E100H/2513301</t>
  </si>
  <si>
    <t>Film capacitor 0.1µF 50V radial (through-hole)</t>
  </si>
  <si>
    <t>Headers</t>
  </si>
  <si>
    <t>Male header, 1x40, 2.54mm, through-hole</t>
  </si>
  <si>
    <t>HDR100IMP40M-G-V-TH-ND</t>
  </si>
  <si>
    <t>Chip Quik Inc.</t>
  </si>
  <si>
    <t>HDR100IMP40M-G-V-TH</t>
  </si>
  <si>
    <t>Solder to Olimex board / perfboard as needed.</t>
  </si>
  <si>
    <t>https://www.digikey.com/en/products/detail/chip-quik-inc/HDR100IMP40M-G-V-TH/5978197</t>
  </si>
  <si>
    <t>Female header, 1x40, 2.54mm, through-hole</t>
  </si>
  <si>
    <t>HDR100IMP40F-G-V-TH-ND</t>
  </si>
  <si>
    <t>HDR100IMP40F-G-V-TH</t>
  </si>
  <si>
    <t>Make sockets so boards are pluggable; cut to length.</t>
  </si>
  <si>
    <t>https://www.digikey.com/en/products/detail/chip-quik-inc/HDR100IMP40F-G-V-TH/5978200</t>
  </si>
  <si>
    <t>Connectors (Probe I/V)</t>
  </si>
  <si>
    <t>Pomona Electronics</t>
  </si>
  <si>
    <t>For I-/V- (or your labeling).</t>
  </si>
  <si>
    <t>For I+/V+ (or your labeling).</t>
  </si>
  <si>
    <t>Connectors (Board wiring)</t>
  </si>
  <si>
    <t>2-pin 0.1" pitch terminal block (optional convenience)</t>
  </si>
  <si>
    <t>Adafruit</t>
  </si>
  <si>
    <t>Product ID 2138</t>
  </si>
  <si>
    <t>Screw terminals make wiring easier (no crimp tools). Use for power, relay, etc.</t>
  </si>
  <si>
    <t>https://www.adafruit.com/product/2138</t>
  </si>
  <si>
    <t>Wiring (optional shield)</t>
  </si>
  <si>
    <t>Holds boards while soldering. Any helping-hands works.</t>
  </si>
  <si>
    <t>Consumables</t>
  </si>
  <si>
    <t>Desolder braid/wick (for fixing mistakes)</t>
  </si>
  <si>
    <t>60-5-5-ND</t>
  </si>
  <si>
    <t>Chemtronics</t>
  </si>
  <si>
    <t>60-5-5</t>
  </si>
  <si>
    <t>5 ft wick; pick any size you like.</t>
  </si>
  <si>
    <t>https://www.digikey.com/en/products/detail/chemtronics/60-5-5/306973</t>
  </si>
  <si>
    <t>Cables</t>
  </si>
  <si>
    <t>Micro-USB cable (Nano 33 IoT to PC)</t>
  </si>
  <si>
    <t>Product ID 2185</t>
  </si>
  <si>
    <t>USB-A to Micro-B cable (2m). Nano 33 IoT uses Micro-USB.</t>
  </si>
  <si>
    <t>https://www.adafruit.com/product/2185</t>
  </si>
  <si>
    <t>Wiring (signal / harness)</t>
  </si>
  <si>
    <t>Hook-up wire spool set, 22AWG stranded-core, 10 colors, 10 x 25ft (spools)</t>
  </si>
  <si>
    <t>Product ID 3175</t>
  </si>
  <si>
    <t>Recommended main signal/harness wire for 4PP + TMC2206 STEP/DIR/EN/UART/limit switches. Stranded handles movement well.</t>
  </si>
  <si>
    <t>https://www.adafruit.com/product/3175</t>
  </si>
  <si>
    <t>Wiring (optional internal neatness)</t>
  </si>
  <si>
    <t>Hook-up wire spool set, 22AWG solid-core, 10 colors, 10 x 25ft (spools)</t>
  </si>
  <si>
    <t>Product ID 3174</t>
  </si>
  <si>
    <t>Optional: if you prefer very tidy board wiring and lots of color options. Solid-core holds bends well.</t>
  </si>
  <si>
    <t>https://www.adafruit.com/product/3174</t>
  </si>
  <si>
    <t>EMI / Noise control (optional)</t>
  </si>
  <si>
    <t>Ferrite clamp (snap-on) for motor cable</t>
  </si>
  <si>
    <t>https://www.digikey.com/en/products/filter/ferrite-cores/933</t>
  </si>
  <si>
    <t>https://www.adafruit.com/product/6121</t>
  </si>
  <si>
    <t>TMC2209 Stepper Motor Driver</t>
    <phoneticPr fontId="4" type="noConversion"/>
  </si>
  <si>
    <t>Adafruit</t>
    <phoneticPr fontId="4" type="noConversion"/>
  </si>
  <si>
    <t>Product ID 6121</t>
    <phoneticPr fontId="4" type="noConversion"/>
  </si>
  <si>
    <t>1N4148FS-ND</t>
  </si>
  <si>
    <t>replace 1N4148-T</t>
    <phoneticPr fontId="4" type="noConversion"/>
  </si>
  <si>
    <t>https://www.digikey.com/en/products/detail/onsemi/1N4148/458603</t>
  </si>
  <si>
    <t>Onsemi</t>
    <phoneticPr fontId="4" type="noConversion"/>
  </si>
  <si>
    <t>PN2222ABU</t>
  </si>
  <si>
    <t>PN2222AFS-ND</t>
  </si>
  <si>
    <t>replace PN2222A</t>
    <phoneticPr fontId="4" type="noConversion"/>
  </si>
  <si>
    <t>https://www.digikey.com/en/products/detail/onsemi/pn2222abu/6534</t>
  </si>
  <si>
    <t>R82EC3100DQ70J</t>
  </si>
  <si>
    <t>KEMET</t>
    <phoneticPr fontId="4" type="noConversion"/>
  </si>
  <si>
    <t>399-5453-1-ND</t>
  </si>
  <si>
    <t>https://www.digikey.com/en/products/detail/kemet/R82EC3100DQ70J/1930807?s=N4IgTCBcDaIMwE4EFoCsAWVdkEZkDkAREAXQF8g</t>
  </si>
  <si>
    <t>replacing ECQ-B1H104JF3</t>
    <phoneticPr fontId="4" type="noConversion"/>
  </si>
  <si>
    <t>1934-1375-ND</t>
  </si>
  <si>
    <t>Fair-Rite</t>
    <phoneticPr fontId="4" type="noConversion"/>
  </si>
  <si>
    <t>reduce stepper cable EMI that can leak into 4PP ADC. Place near driver and/or near motor.</t>
    <phoneticPr fontId="4" type="noConversion"/>
  </si>
  <si>
    <t>shielded wire 22AWG (for V+ / V- lines, optional)</t>
    <phoneticPr fontId="4" type="noConversion"/>
  </si>
  <si>
    <t>135-94610605000-DS-ND</t>
  </si>
  <si>
    <t>Belden Inc.</t>
    <phoneticPr fontId="4" type="noConversion"/>
  </si>
  <si>
    <t>9461 0605000</t>
  </si>
  <si>
    <t>https://www.digikey.com/en/products/detail/belden-inc/9461-0605000/8132459?s=N4IgTCBcDaIIwGYCsBaAnAFgGxwAxdyV2JQBEBlFAOVJAF0BfIA</t>
  </si>
  <si>
    <t>click switch</t>
    <phoneticPr fontId="4" type="noConversion"/>
  </si>
  <si>
    <t>Omron</t>
    <phoneticPr fontId="4" type="noConversion"/>
  </si>
  <si>
    <t>SWITCH SNAP ACTION SPDT 15A 250V</t>
  </si>
  <si>
    <t>switch for zeroing stepper motors</t>
    <phoneticPr fontId="4" type="noConversion"/>
  </si>
  <si>
    <t>SW1249-ND</t>
  </si>
  <si>
    <t>V-153-1A5</t>
  </si>
  <si>
    <t>https://www.digikey.com/en/products/detail/omron-electronics-inc-emc-div/V-153-1A5/1829012</t>
  </si>
  <si>
    <t>1939-1237-ND</t>
  </si>
  <si>
    <t>GlobTek, Inc.</t>
  </si>
  <si>
    <t>TR9CE5000LCP-N(R6B)</t>
  </si>
  <si>
    <t>https://www.digikey.com/en/products/detail/globtek-inc/TR9CE5000LCP-N-R6B/8598040</t>
  </si>
  <si>
    <t>https://www.digikey.com/en/products/detail/eaton-tripp-lite/P006-002-13A/4896253?s=N4IgTCBcDaIAoAYEDYC0SyoIwGYCCIAugL5A</t>
  </si>
  <si>
    <t>Power Cord</t>
  </si>
  <si>
    <t>Power</t>
    <phoneticPr fontId="4" type="noConversion"/>
  </si>
  <si>
    <t>TL868-ND</t>
  </si>
  <si>
    <t>Eaton Tripp Lite</t>
  </si>
  <si>
    <t>P006-002-13A</t>
  </si>
  <si>
    <t xml:space="preserve">Tools </t>
    <phoneticPr fontId="4" type="noConversion"/>
  </si>
  <si>
    <t>PCB vise / working station</t>
    <phoneticPr fontId="4" type="noConversion"/>
  </si>
  <si>
    <t>Product ID 5253</t>
    <phoneticPr fontId="4" type="noConversion"/>
  </si>
  <si>
    <t>https://www.adafruit.com/product/5253</t>
  </si>
  <si>
    <t>Bilda</t>
    <phoneticPr fontId="4" type="noConversion"/>
  </si>
  <si>
    <t>3504 Series Lead Screw Clamping Collar</t>
    <phoneticPr fontId="4" type="noConversion"/>
  </si>
  <si>
    <t>lead screw clamp</t>
    <phoneticPr fontId="4" type="noConversion"/>
  </si>
  <si>
    <t>8mm ID Thrust Ball Bearing (15.5mm OD, 5mm Thickness)</t>
  </si>
  <si>
    <t>thrust ball bearing</t>
    <phoneticPr fontId="4" type="noConversion"/>
  </si>
  <si>
    <t>1118 Series Open goRAIL® (96mm Length)</t>
  </si>
  <si>
    <t>1611 Series Flanged Ball Bearing (8mm ID x 14mm OD, 5mm Thickness) - 2 Pack</t>
  </si>
  <si>
    <t>flanged ball bearing</t>
    <phoneticPr fontId="4" type="noConversion"/>
  </si>
  <si>
    <t>3501 Series Lead Screw (8mm Lead, 4 Start, 150mm Length)</t>
  </si>
  <si>
    <t>lead screw 150mm</t>
    <phoneticPr fontId="4" type="noConversion"/>
  </si>
  <si>
    <t>3503 Series Lead Screw Nut for Open goRAIL® (8mm Lead, 4 Start, 38mm Length)</t>
  </si>
  <si>
    <t>lead screw nut</t>
    <phoneticPr fontId="4" type="noConversion"/>
  </si>
  <si>
    <t>4002 Series Flexible Clamping Shaft Coupler (5mm Round Bore to 8mm Round Bore)</t>
  </si>
  <si>
    <t>shaft coupler 8x5mm</t>
    <phoneticPr fontId="4" type="noConversion"/>
  </si>
  <si>
    <t>4002 Series Flexible Clamping Shaft Coupler (6mm Round Bore to 8mm Round Bore)</t>
  </si>
  <si>
    <t>shaft coupler 8x6mm</t>
    <phoneticPr fontId="4" type="noConversion"/>
  </si>
  <si>
    <t>https://www.gobilda.com/3504-series-lead-screw-clamping-collar-8mm-lead-4-start-21mm-od-9mm-length/</t>
    <phoneticPr fontId="4" type="noConversion"/>
  </si>
  <si>
    <t>https://www.gobilda.com/8mm-id-thrust-ball-bearing-15-5mm-od-5mm-thickness/</t>
  </si>
  <si>
    <t>https://www.gobilda.com/1611-series-flanged-ball-bearing-8mm-id-x-14mm-od-5mm-thickness-2-pack/</t>
  </si>
  <si>
    <t>https://www.gobilda.com/3501-series-lead-screw-8mm-lead-4-start-150mm-length/</t>
  </si>
  <si>
    <t>https://www.gobilda.com/3503-series-lead-screw-nut-for-open-gorail-8mm-lead-4-start-38mm-length/</t>
  </si>
  <si>
    <t>https://www.gobilda.com/4002-series-flexible-clamping-shaft-coupler-5mm-round-bore-to-8mm-round-bore/</t>
  </si>
  <si>
    <t>https://www.gobilda.com/4002-series-flexible-clamping-shaft-coupler-6mm-round-bore-to-8mm-round-bore/</t>
  </si>
  <si>
    <t>slotted rail 144mm</t>
    <phoneticPr fontId="4" type="noConversion"/>
  </si>
  <si>
    <t>https://www.gobilda.com/1118-series-open-gorail-144mm-length/</t>
  </si>
  <si>
    <t>1118 Series Open goRAIL® (144mm Length)</t>
    <phoneticPr fontId="4" type="noConversion"/>
  </si>
  <si>
    <t>slotted rail 192mm</t>
    <phoneticPr fontId="4" type="noConversion"/>
  </si>
  <si>
    <t>https://www.gobilda.com/1118-series-open-gorail-192mm-length/</t>
  </si>
  <si>
    <t>1118 Series Open goRAIL® (192mm Length)</t>
  </si>
  <si>
    <t>3504-0804-2109</t>
  </si>
  <si>
    <t>1118-0024-0192</t>
  </si>
  <si>
    <t>1118-0024-0144</t>
  </si>
  <si>
    <t>1613-0516-0008</t>
  </si>
  <si>
    <t>1611-0514-0008</t>
  </si>
  <si>
    <t>3501-0804-0150</t>
  </si>
  <si>
    <t>lead screw 250mm</t>
    <phoneticPr fontId="4" type="noConversion"/>
  </si>
  <si>
    <t>3501-0804-0250</t>
  </si>
  <si>
    <t>3501 Series Lead Screw (8mm Lead, 4 Start, 250mm Length)</t>
  </si>
  <si>
    <t>https://www.gobilda.com/3501-series-lead-screw-8mm-lead-4-start-250mm-length/</t>
    <phoneticPr fontId="4" type="noConversion"/>
  </si>
  <si>
    <t>3501 Series Lead Screw (8mm Lead, 4 Start, 200mm Length)</t>
  </si>
  <si>
    <t>3501-0804-0200</t>
  </si>
  <si>
    <t>https://www.gobilda.com/3501-series-lead-screw-8mm-lead-4-start-200mm-length/</t>
    <phoneticPr fontId="4" type="noConversion"/>
  </si>
  <si>
    <t>3503-0804-0038</t>
  </si>
  <si>
    <t>4002-0005-0008</t>
  </si>
  <si>
    <t>4002-0006-0008</t>
  </si>
  <si>
    <t>lead screw 200mm</t>
    <phoneticPr fontId="4" type="noConversion"/>
  </si>
  <si>
    <t>Power (DC input)</t>
  </si>
  <si>
    <t>DC barrel jack, 5.5mm OD x 2.5mm ID, PCB right-angle, through-hole</t>
  </si>
  <si>
    <t>SC1863-ND</t>
  </si>
  <si>
    <t>RAPC712BK</t>
  </si>
  <si>
    <t>https://www.digikey.com/en/products/detail/switchcraft-inc/RAPC712BK/1288493</t>
  </si>
  <si>
    <t>12V power barrel jack</t>
    <phoneticPr fontId="4" type="noConversion"/>
  </si>
  <si>
    <t>https://www.digikey.com/en/products/detail/littelfuse-commercial-vehicle-products/FHAC0001ZXJ/2004062</t>
  </si>
  <si>
    <t>Power Protection</t>
  </si>
  <si>
    <t>Inline blade fuse holder (ATC/ATO), splashproof cover, wire leads</t>
  </si>
  <si>
    <t>F3209-ND</t>
  </si>
  <si>
    <t>Littelfuse/Commercial Vehicle Products</t>
  </si>
  <si>
    <t>FHAC0001ZXJ</t>
  </si>
  <si>
    <t>12V 메인 라인에 직렬로 넣어서 전체 보호(권장). 2개는 '메인/모터' 분기 각각 보호할 때 사용.</t>
  </si>
  <si>
    <t>https://www.digikey.com/en/products/detail/littelfuse-inc/0287005.U/3996899</t>
  </si>
  <si>
    <t>ATC/ATO blade fuse, 5A, 32V</t>
  </si>
  <si>
    <t>0287005.U-ND</t>
  </si>
  <si>
    <t>0287005.U</t>
  </si>
  <si>
    <t>12V 5A 어댑터 기준 메인 퓨즈로 무난. (실제 동작 전류가 낮으면 3A로 낮추는 게 더 안전)</t>
  </si>
  <si>
    <t>Power Transient Suppression</t>
  </si>
  <si>
    <t>TVS diode, SMBJ15A, unidirectional, DO-214AA</t>
  </si>
  <si>
    <t>SMBJ15ALFCT-ND</t>
  </si>
  <si>
    <t>SMBJ15A</t>
  </si>
  <si>
    <t>12V 레일에 병렬(12V↔GND)로 넣어 스파이크/ESD 흡수. 퓨즈 '뒤'에 배치 권장.</t>
  </si>
  <si>
    <t>https://www.digikey.com/en/products/detail/littelfuse-inc/0287003-U/3996895?s=N4IgTCBcDaIAxgBwHY5wMwDoCqIC6AvkA</t>
  </si>
  <si>
    <t>12V 3A 어댑터  메인 퓨즈로 무난. (실제 동작 전류가 5A보다 낮을때)</t>
    <phoneticPr fontId="4" type="noConversion"/>
  </si>
  <si>
    <t>F11061-ND</t>
  </si>
  <si>
    <t>0287003.U</t>
  </si>
  <si>
    <t>ATC/ATO blade fuse, 3A, 32V</t>
    <phoneticPr fontId="4" type="noConversion"/>
  </si>
  <si>
    <t>Digi-Key</t>
    <phoneticPr fontId="4" type="noConversion"/>
  </si>
  <si>
    <t>https://www.digikey.com/en/products/detail/littelfuse-inc/SMBJ15A/285980</t>
  </si>
  <si>
    <t>Power Decoupling</t>
  </si>
  <si>
    <t>Bulk electrolytic capacitor, low ESR, 470uF 25V radial</t>
  </si>
  <si>
    <t>P14418-ND</t>
  </si>
  <si>
    <t>EEU-FR1E471L</t>
  </si>
  <si>
    <t>VMOT(모터 드라이버) 근처 12V↔GND에 추가(권장). 리플/스텝 부하에 대한 버퍼 역할. (Panasonic FR, 105°C)</t>
  </si>
  <si>
    <t>https://www.digikey.com/en/products/detail/panasonic-electronic-components/EEU-FR1E471L/2433552</t>
  </si>
  <si>
    <t>slotted rail 96mm</t>
    <phoneticPr fontId="4" type="noConversion"/>
  </si>
  <si>
    <t>1118-0024-0096</t>
    <phoneticPr fontId="4" type="noConversion"/>
  </si>
  <si>
    <t>Stepperonline</t>
    <phoneticPr fontId="4" type="noConversion"/>
  </si>
  <si>
    <t>17HS08-1004S</t>
  </si>
  <si>
    <t>Nema 17 Bipolar Stepper Motor 1.8deg 16Ncm(22.66oz.in) 1A Extruder Motor 42x42x21.5mm 4 Wires</t>
  </si>
  <si>
    <t>Stepper Motor</t>
    <phoneticPr fontId="4" type="noConversion"/>
  </si>
  <si>
    <t>Linear Motion</t>
    <phoneticPr fontId="4" type="noConversion"/>
  </si>
  <si>
    <t>etc</t>
    <phoneticPr fontId="4" type="noConversion"/>
  </si>
  <si>
    <t>Physical fixation</t>
    <phoneticPr fontId="4" type="noConversion"/>
  </si>
  <si>
    <t>McMaster</t>
    <phoneticPr fontId="4" type="noConversion"/>
  </si>
  <si>
    <t>https://www.mcmaster.com/94180A331/</t>
  </si>
  <si>
    <t>94180A331</t>
  </si>
  <si>
    <t>McMaster-Carr</t>
    <phoneticPr fontId="4" type="noConversion"/>
  </si>
  <si>
    <t xml:space="preserve"> M3 x 0.5 mm Thread Size, 3.8 mm Installed Length</t>
  </si>
  <si>
    <t>Brass Tapered Heat-Set Inserts for Plastic</t>
    <phoneticPr fontId="4" type="noConversion"/>
  </si>
  <si>
    <t>M4 x 0.7 mm Thread Size, 4.7 mm Installed Length</t>
  </si>
  <si>
    <t>94180A351</t>
  </si>
  <si>
    <t>https://www.mcmaster.com/94180A351/</t>
  </si>
  <si>
    <t>12V wall adapter, 60W (12V/5A), 2.5mm center-positive</t>
    <phoneticPr fontId="4" type="noConversion"/>
  </si>
  <si>
    <t>IEC C13 power cord (for IEC C14 inlet)</t>
  </si>
  <si>
    <t>TMC2209 stepper driver breakout</t>
  </si>
  <si>
    <t>https://www.digikey.com/en/products/detail/pomona-electronics/3760-0/603401</t>
  </si>
  <si>
    <t>501-1094-ND</t>
  </si>
  <si>
    <t>3760-0</t>
  </si>
  <si>
    <t>CONN BIND POST KNURLED BLACK</t>
  </si>
  <si>
    <t>501-1095-ND</t>
  </si>
  <si>
    <t>3760-2</t>
    <phoneticPr fontId="4" type="noConversion"/>
  </si>
  <si>
    <t>https://www.digikey.com/en/products/detail/pomona-electronics/3760-2/603402</t>
  </si>
  <si>
    <t>501-1506-ND</t>
  </si>
  <si>
    <t>3760-5</t>
  </si>
  <si>
    <t>https://www.digikey.com/en/products/detail/pomona-electronics/3760-5/736554</t>
  </si>
  <si>
    <t>https://www.digikey.com/en/products/detail/pomona-electronics/3760-6/736555</t>
  </si>
  <si>
    <t>501-1650-ND</t>
  </si>
  <si>
    <t>3760-6</t>
  </si>
  <si>
    <t>CONN BIND POST KNURLED BLUE</t>
  </si>
  <si>
    <t>Binding Post Connector Standard Knurled Green Tin</t>
  </si>
  <si>
    <t>Binding Post Connector Standard Knurled Red Tin</t>
  </si>
  <si>
    <t>2</t>
    <phoneticPr fontId="4" type="noConversion"/>
  </si>
  <si>
    <t>subtotal</t>
    <phoneticPr fontId="4" type="noConversion"/>
  </si>
  <si>
    <t>Optional: use shield cable for voltage sense lines. If you skip, twist V+ and V- tightly.</t>
    <phoneticPr fontId="4" type="noConversion"/>
  </si>
  <si>
    <t>4878-BAT54ACT-ND</t>
  </si>
  <si>
    <t>Diotec Semiconductor</t>
  </si>
  <si>
    <t>BAT54A</t>
  </si>
  <si>
    <t>Diode Array 1 Pair Common Anode 30 V 200mA Surface Mount TO-236-3, SC-59, SOT-23-3</t>
  </si>
  <si>
    <t>https://www.digikey.com/en/products/detail/diotec-semiconductor/BAT54A/13163440</t>
  </si>
  <si>
    <t>10</t>
  </si>
  <si>
    <t>10</t>
    <phoneticPr fontId="4" type="noConversion"/>
  </si>
  <si>
    <t>4878-BAT54CTR-ND</t>
  </si>
  <si>
    <t>BAT54C</t>
  </si>
  <si>
    <t>https://www.digikey.com/en/products/detail/diotec-semiconductor/BAT54C/13163831</t>
  </si>
  <si>
    <t>Diode Array 1 Pair Common Cathode 30 V 200mA Surface Mount TO-236-3, SC-59, SOT-23-3</t>
  </si>
  <si>
    <t>1568-00717-ND</t>
  </si>
  <si>
    <t>SparkFun Electronics</t>
  </si>
  <si>
    <t>00717</t>
  </si>
  <si>
    <t>SOT23 TO DIP ADAPTER</t>
  </si>
  <si>
    <t>https://www.digikey.com/en/products/detail/sparkfun-electronics/00717/5318740</t>
  </si>
  <si>
    <t>Clamp ADC inputs to GND/3.3V (with series resistors)</t>
  </si>
  <si>
    <t>13-MFR-25FTF52-10RCT-ND</t>
  </si>
  <si>
    <t>https://www.digikey.com/en/products/detail/yageo/MFR-25FTF52-10R/9140488?utm_source=chatgpt.com</t>
  </si>
  <si>
    <t>MFR-25FTF52-10R</t>
  </si>
  <si>
    <t>10 Ohms ±1% 0.25W, 1/4W Through Hole Resistor Axial Metal Film</t>
  </si>
  <si>
    <t>25</t>
  </si>
  <si>
    <t>25</t>
    <phoneticPr fontId="4" type="noConversion"/>
  </si>
  <si>
    <t>0.0312</t>
    <phoneticPr fontId="4" type="noConversion"/>
  </si>
  <si>
    <t>445-FK24X7R1C105KN000-ND</t>
  </si>
  <si>
    <t>TDK Corporation</t>
  </si>
  <si>
    <t>FK24X7R1C105KN000</t>
  </si>
  <si>
    <t>https://www.digikey.com/en/products/detail/tdk-corporation/fk24x7r1c105kn000/1008884</t>
  </si>
  <si>
    <t>0.1738</t>
    <phoneticPr fontId="4" type="noConversion"/>
  </si>
  <si>
    <t>50</t>
  </si>
  <si>
    <t>50</t>
    <phoneticPr fontId="4" type="noConversion"/>
  </si>
  <si>
    <t>1 µF ±10% 16V Ceramic Capacitor X7R Radial</t>
  </si>
  <si>
    <t>Murata Electronics</t>
  </si>
  <si>
    <t>0.1 µF ±10% 50V Ceramic Capacitor X7R Radial</t>
  </si>
  <si>
    <t>0.20840</t>
    <phoneticPr fontId="4" type="noConversion"/>
  </si>
  <si>
    <t>490-9144-1-ND</t>
  </si>
  <si>
    <t>RDER71H104K0M1H03A</t>
  </si>
  <si>
    <t>https://www.digikey.com/en/products/detail/murata-electronics/RDER71H104K0M1H03A/4772306</t>
  </si>
  <si>
    <t>Item #</t>
    <phoneticPr fontId="4" type="noConversion"/>
  </si>
  <si>
    <t>1</t>
    <phoneticPr fontId="4" type="noConversion"/>
  </si>
  <si>
    <t>7</t>
  </si>
  <si>
    <t>5</t>
  </si>
  <si>
    <t>6</t>
  </si>
  <si>
    <t>3</t>
    <phoneticPr fontId="4" type="noConversion"/>
  </si>
  <si>
    <t>4</t>
    <phoneticPr fontId="4" type="noConversion"/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</si>
  <si>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</si>
  <si>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</si>
  <si>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</si>
  <si>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</si>
  <si>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</si>
  <si>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</si>
  <si>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</si>
  <si>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</si>
  <si>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</si>
  <si>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</si>
  <si>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</si>
  <si>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</si>
  <si>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</si>
  <si>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</si>
  <si>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</si>
  <si>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</si>
  <si>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</si>
  <si>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</si>
  <si>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</si>
  <si>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</si>
  <si>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</si>
  <si>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</si>
  <si>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</si>
  <si>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</si>
  <si>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</si>
  <si>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</si>
  <si>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</si>
  <si>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</si>
  <si>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</si>
  <si>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</si>
  <si>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</si>
  <si>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</si>
  <si>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</si>
  <si>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</si>
  <si>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</si>
  <si>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</si>
  <si>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</si>
  <si>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</si>
  <si>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</si>
  <si>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</si>
  <si>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</si>
  <si>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</si>
  <si>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</si>
  <si>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</si>
  <si>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</si>
  <si>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</si>
  <si>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</si>
  <si>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</si>
  <si>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</si>
  <si>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</si>
  <si>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</si>
  <si>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</si>
  <si>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stabilizing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</si>
</sst>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2"/>
      <charset val="129"/>
      <scheme val="minor"/>
    </font>
    <font>
      <sz val="11"/>
      <color theme="1"/>
      <name val="맑은 고딕"/>
      <scheme val="minor"/>
    </font>
    <font>
      <sz val="12"/>
      <color rgb="FF333333"/>
      <name val="맑은 고딕"/>
      <family val="2"/>
      <scheme val="minor"/>
    </font>
    <font>
      <sz val="12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5" fillId="0" borderId="0" xfId="0" applyFont="1" applyAlignment="1"/>
    <xf numFmtId="49" fontId="3" fillId="0" borderId="1" xfId="0" applyNumberFormat="1" applyFont="1" applyBorder="1" applyAlignment="1">
      <alignment horizontal="center" vertical="top"/>
    </xf>
    <xf numFmtId="49" fontId="0" fillId="0" borderId="0" xfId="0" applyNumberFormat="1" applyAlignment="1"/>
    <xf numFmtId="49" fontId="0" fillId="0" borderId="0" xfId="0" applyNumberFormat="1">
      <alignment vertical="center"/>
    </xf>
    <xf numFmtId="49" fontId="5" fillId="0" borderId="0" xfId="0" applyNumberFormat="1" applyFont="1" applyAlignment="1"/>
    <xf numFmtId="49" fontId="2" fillId="0" borderId="0" xfId="0" applyNumberFormat="1" applyFont="1" applyAlignment="1"/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3" fillId="0" borderId="2" xfId="0" applyNumberFormat="1" applyFont="1" applyBorder="1" applyAlignment="1">
      <alignment horizontal="center" vertical="top"/>
    </xf>
    <xf numFmtId="176" fontId="0" fillId="0" borderId="0" xfId="0" applyNumberFormat="1" applyAlignment="1"/>
    <xf numFmtId="176" fontId="5" fillId="0" borderId="0" xfId="0" applyNumberFormat="1" applyFont="1" applyAlignment="1"/>
    <xf numFmtId="176" fontId="0" fillId="0" borderId="0" xfId="0" applyNumberFormat="1">
      <alignment vertical="center"/>
    </xf>
    <xf numFmtId="49" fontId="1" fillId="0" borderId="0" xfId="0" applyNumberFormat="1" applyFont="1" applyAlignment="1"/>
    <xf numFmtId="177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8746-7673-46FE-91D3-012D3A162DC7}">
  <dimension ref="A1:O65"/>
  <sheetViews>
    <sheetView tabSelected="1" zoomScaleNormal="100" workbookViewId="0">
      <selection activeCell="M5" sqref="M5"/>
    </sheetView>
  </sheetViews>
  <sheetFormatPr defaultRowHeight="16.5"/>
  <cols>
    <col min="1" max="2" width="9" style="4"/>
    <col min="3" max="3" width="27" style="4" customWidth="1"/>
    <col min="4" max="5" width="9" style="4"/>
    <col min="6" max="6" width="16.625" style="4" customWidth="1"/>
    <col min="7" max="7" width="9" style="4"/>
    <col min="8" max="8" width="12.5" style="4" customWidth="1"/>
    <col min="9" max="16384" width="9" style="4"/>
  </cols>
  <sheetData>
    <row r="1" spans="1:15" s="3" customFormat="1">
      <c r="A1" s="3" t="s">
        <v>364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1" t="s">
        <v>17</v>
      </c>
      <c r="L1" s="11" t="s">
        <v>18</v>
      </c>
      <c r="M1" s="11" t="s">
        <v>293</v>
      </c>
    </row>
    <row r="2" spans="1:15" s="3" customFormat="1">
      <c r="A2" s="16" t="s">
        <v>365</v>
      </c>
      <c r="B2" s="3" t="s">
        <v>9</v>
      </c>
      <c r="C2" s="3" t="s">
        <v>10</v>
      </c>
      <c r="D2" s="3">
        <v>3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>
        <v>23.9</v>
      </c>
      <c r="L2" s="12">
        <f>K2*D2</f>
        <v>71.699999999999989</v>
      </c>
    </row>
    <row r="3" spans="1:15" s="3" customFormat="1">
      <c r="A3" s="16" t="s">
        <v>323</v>
      </c>
      <c r="B3" s="3" t="s">
        <v>19</v>
      </c>
      <c r="C3" s="3" t="s">
        <v>20</v>
      </c>
      <c r="D3" s="3">
        <v>3</v>
      </c>
      <c r="E3" s="3" t="s">
        <v>11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>
        <v>18.64</v>
      </c>
      <c r="L3" s="12">
        <f t="shared" ref="L3:L42" si="0">K3*D3</f>
        <v>55.92</v>
      </c>
    </row>
    <row r="4" spans="1:15" s="3" customFormat="1">
      <c r="A4" s="16" t="s">
        <v>369</v>
      </c>
      <c r="B4" s="3" t="s">
        <v>26</v>
      </c>
      <c r="C4" s="3" t="s">
        <v>27</v>
      </c>
      <c r="D4" s="3">
        <v>10</v>
      </c>
      <c r="E4" s="3" t="s">
        <v>11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>
        <v>0.63700000000000001</v>
      </c>
      <c r="L4" s="12">
        <f t="shared" si="0"/>
        <v>6.37</v>
      </c>
    </row>
    <row r="5" spans="1:15">
      <c r="A5" s="16" t="s">
        <v>370</v>
      </c>
      <c r="B5" s="3" t="s">
        <v>26</v>
      </c>
      <c r="C5" s="3" t="s">
        <v>33</v>
      </c>
      <c r="D5" s="3">
        <v>25</v>
      </c>
      <c r="E5" s="3" t="s">
        <v>11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3">
        <v>0.46279999999999999</v>
      </c>
      <c r="L5" s="12">
        <f t="shared" si="0"/>
        <v>11.57</v>
      </c>
    </row>
    <row r="6" spans="1:15">
      <c r="A6" s="16" t="s">
        <v>367</v>
      </c>
      <c r="B6" s="3" t="s">
        <v>26</v>
      </c>
      <c r="C6" s="3" t="s">
        <v>39</v>
      </c>
      <c r="D6" s="3">
        <v>25</v>
      </c>
      <c r="E6" s="3" t="s">
        <v>11</v>
      </c>
      <c r="F6" s="3" t="s">
        <v>40</v>
      </c>
      <c r="G6" s="3" t="s">
        <v>35</v>
      </c>
      <c r="H6" s="3" t="s">
        <v>41</v>
      </c>
      <c r="I6" s="3" t="s">
        <v>42</v>
      </c>
      <c r="J6" s="3" t="s">
        <v>43</v>
      </c>
      <c r="K6" s="3">
        <v>0.46279999999999999</v>
      </c>
      <c r="L6" s="12">
        <f t="shared" si="0"/>
        <v>11.57</v>
      </c>
    </row>
    <row r="7" spans="1:15">
      <c r="A7" s="16" t="s">
        <v>368</v>
      </c>
      <c r="B7" s="3" t="s">
        <v>44</v>
      </c>
      <c r="C7" s="3" t="s">
        <v>45</v>
      </c>
      <c r="D7" s="3">
        <v>25</v>
      </c>
      <c r="E7" s="3" t="s">
        <v>11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  <c r="K7" s="3">
        <v>0.32719999999999999</v>
      </c>
      <c r="L7" s="12">
        <f t="shared" si="0"/>
        <v>8.18</v>
      </c>
    </row>
    <row r="8" spans="1:15">
      <c r="A8" s="16" t="s">
        <v>366</v>
      </c>
      <c r="B8" s="3" t="s">
        <v>51</v>
      </c>
      <c r="C8" s="3" t="s">
        <v>52</v>
      </c>
      <c r="D8" s="3">
        <v>3</v>
      </c>
      <c r="E8" s="3" t="s">
        <v>11</v>
      </c>
      <c r="F8" s="3" t="s">
        <v>53</v>
      </c>
      <c r="G8" s="3" t="s">
        <v>54</v>
      </c>
      <c r="H8" s="3" t="s">
        <v>55</v>
      </c>
      <c r="I8" s="3" t="s">
        <v>56</v>
      </c>
      <c r="J8" s="3" t="s">
        <v>57</v>
      </c>
      <c r="K8" s="3">
        <v>2.16</v>
      </c>
      <c r="L8" s="12">
        <f t="shared" si="0"/>
        <v>6.48</v>
      </c>
    </row>
    <row r="9" spans="1:15">
      <c r="A9" s="16" t="s">
        <v>371</v>
      </c>
      <c r="B9" s="3" t="s">
        <v>58</v>
      </c>
      <c r="C9" s="3" t="s">
        <v>59</v>
      </c>
      <c r="D9" s="3">
        <v>10</v>
      </c>
      <c r="E9" s="3" t="s">
        <v>11</v>
      </c>
      <c r="F9" s="3" t="s">
        <v>167</v>
      </c>
      <c r="G9" s="3" t="s">
        <v>165</v>
      </c>
      <c r="H9" s="3" t="s">
        <v>166</v>
      </c>
      <c r="I9" s="3" t="s">
        <v>168</v>
      </c>
      <c r="J9" s="3" t="s">
        <v>169</v>
      </c>
      <c r="K9" s="3">
        <v>0.184</v>
      </c>
      <c r="L9" s="12">
        <f t="shared" si="0"/>
        <v>1.8399999999999999</v>
      </c>
      <c r="M9" s="3"/>
    </row>
    <row r="10" spans="1:15">
      <c r="A10" s="16" t="s">
        <v>372</v>
      </c>
      <c r="B10" s="3" t="s">
        <v>58</v>
      </c>
      <c r="C10" s="3" t="s">
        <v>60</v>
      </c>
      <c r="D10" s="3">
        <v>20</v>
      </c>
      <c r="E10" s="3" t="s">
        <v>11</v>
      </c>
      <c r="F10" s="3" t="s">
        <v>162</v>
      </c>
      <c r="G10" s="3" t="s">
        <v>165</v>
      </c>
      <c r="H10" s="4" t="s">
        <v>162</v>
      </c>
      <c r="I10" s="3" t="s">
        <v>163</v>
      </c>
      <c r="J10" s="3" t="s">
        <v>164</v>
      </c>
      <c r="K10" s="3">
        <v>0.41</v>
      </c>
      <c r="L10" s="12">
        <f t="shared" si="0"/>
        <v>8.1999999999999993</v>
      </c>
      <c r="M10" s="3"/>
    </row>
    <row r="11" spans="1:15">
      <c r="A11" s="16" t="s">
        <v>331</v>
      </c>
      <c r="B11" s="3" t="s">
        <v>58</v>
      </c>
      <c r="C11" s="3" t="s">
        <v>61</v>
      </c>
      <c r="D11" s="3">
        <v>25</v>
      </c>
      <c r="E11" s="3" t="s">
        <v>11</v>
      </c>
      <c r="F11" s="3" t="s">
        <v>62</v>
      </c>
      <c r="G11" s="3" t="s">
        <v>35</v>
      </c>
      <c r="H11" s="3" t="s">
        <v>63</v>
      </c>
      <c r="I11" s="3" t="s">
        <v>64</v>
      </c>
      <c r="J11" s="3" t="s">
        <v>65</v>
      </c>
      <c r="K11" s="3">
        <v>0.45679999999999998</v>
      </c>
      <c r="L11" s="12">
        <f t="shared" si="0"/>
        <v>11.42</v>
      </c>
    </row>
    <row r="12" spans="1:15">
      <c r="A12" s="16" t="s">
        <v>373</v>
      </c>
      <c r="B12" s="3" t="s">
        <v>66</v>
      </c>
      <c r="C12" s="3" t="s">
        <v>329</v>
      </c>
      <c r="D12" s="3" t="s">
        <v>332</v>
      </c>
      <c r="E12" s="3" t="s">
        <v>11</v>
      </c>
      <c r="F12" s="5" t="s">
        <v>326</v>
      </c>
      <c r="G12" s="5" t="s">
        <v>327</v>
      </c>
      <c r="H12" s="5" t="s">
        <v>328</v>
      </c>
      <c r="I12" s="5" t="s">
        <v>342</v>
      </c>
      <c r="J12" s="5" t="s">
        <v>330</v>
      </c>
      <c r="K12" s="15">
        <v>8.7999999999999995E-2</v>
      </c>
      <c r="L12" s="12">
        <f t="shared" si="0"/>
        <v>0.87999999999999989</v>
      </c>
      <c r="M12" s="7"/>
    </row>
    <row r="13" spans="1:15">
      <c r="A13" s="16" t="s">
        <v>374</v>
      </c>
      <c r="B13" s="3" t="s">
        <v>66</v>
      </c>
      <c r="C13" s="3" t="s">
        <v>336</v>
      </c>
      <c r="D13" s="3" t="s">
        <v>332</v>
      </c>
      <c r="E13" s="3" t="s">
        <v>11</v>
      </c>
      <c r="F13" s="5" t="s">
        <v>333</v>
      </c>
      <c r="G13" s="5" t="s">
        <v>327</v>
      </c>
      <c r="H13" s="5" t="s">
        <v>334</v>
      </c>
      <c r="I13" s="5" t="s">
        <v>342</v>
      </c>
      <c r="J13" s="5" t="s">
        <v>335</v>
      </c>
      <c r="K13" s="15">
        <v>9.1999999999999998E-2</v>
      </c>
      <c r="L13" s="12">
        <f t="shared" si="0"/>
        <v>0.91999999999999993</v>
      </c>
      <c r="M13" s="7"/>
    </row>
    <row r="14" spans="1:15">
      <c r="A14" s="16" t="s">
        <v>375</v>
      </c>
      <c r="B14" s="3" t="s">
        <v>66</v>
      </c>
      <c r="C14" s="3" t="s">
        <v>340</v>
      </c>
      <c r="D14" s="3" t="s">
        <v>332</v>
      </c>
      <c r="E14" s="3" t="s">
        <v>11</v>
      </c>
      <c r="F14" s="5" t="s">
        <v>337</v>
      </c>
      <c r="G14" s="5" t="s">
        <v>338</v>
      </c>
      <c r="H14" s="5" t="s">
        <v>339</v>
      </c>
      <c r="I14" s="5" t="s">
        <v>342</v>
      </c>
      <c r="J14" s="5" t="s">
        <v>341</v>
      </c>
      <c r="K14" s="15">
        <v>1.25</v>
      </c>
      <c r="L14" s="12">
        <f t="shared" si="0"/>
        <v>12.5</v>
      </c>
      <c r="M14" s="7"/>
    </row>
    <row r="15" spans="1:15">
      <c r="A15" s="16" t="s">
        <v>376</v>
      </c>
      <c r="B15" s="3" t="s">
        <v>66</v>
      </c>
      <c r="C15" s="3" t="s">
        <v>67</v>
      </c>
      <c r="D15" s="3">
        <v>50</v>
      </c>
      <c r="E15" s="3" t="s">
        <v>11</v>
      </c>
      <c r="F15" s="5" t="s">
        <v>68</v>
      </c>
      <c r="G15" s="5" t="s">
        <v>47</v>
      </c>
      <c r="H15" s="5" t="s">
        <v>69</v>
      </c>
      <c r="I15" s="5" t="s">
        <v>70</v>
      </c>
      <c r="J15" s="5" t="s">
        <v>71</v>
      </c>
      <c r="K15" s="6">
        <v>2.86E-2</v>
      </c>
      <c r="L15" s="13">
        <f t="shared" si="0"/>
        <v>1.43</v>
      </c>
      <c r="M15" s="5"/>
      <c r="N15" s="3"/>
      <c r="O15" s="3"/>
    </row>
    <row r="16" spans="1:15">
      <c r="A16" s="16" t="s">
        <v>377</v>
      </c>
      <c r="B16" s="3" t="s">
        <v>72</v>
      </c>
      <c r="C16" s="3" t="s">
        <v>304</v>
      </c>
      <c r="D16" s="3">
        <v>1</v>
      </c>
      <c r="E16" s="3" t="s">
        <v>11</v>
      </c>
      <c r="F16" s="5" t="s">
        <v>190</v>
      </c>
      <c r="G16" s="5" t="s">
        <v>191</v>
      </c>
      <c r="H16" s="5" t="s">
        <v>192</v>
      </c>
      <c r="I16" s="5" t="s">
        <v>73</v>
      </c>
      <c r="J16" s="5" t="s">
        <v>193</v>
      </c>
      <c r="K16" s="6">
        <v>19.239999999999998</v>
      </c>
      <c r="L16" s="13">
        <f t="shared" si="0"/>
        <v>19.239999999999998</v>
      </c>
      <c r="M16" s="7"/>
      <c r="O16" s="3"/>
    </row>
    <row r="17" spans="1:13">
      <c r="A17" s="16" t="s">
        <v>378</v>
      </c>
      <c r="B17" s="3" t="s">
        <v>196</v>
      </c>
      <c r="C17" s="3" t="s">
        <v>195</v>
      </c>
      <c r="D17" s="3">
        <v>1</v>
      </c>
      <c r="E17" s="3" t="s">
        <v>11</v>
      </c>
      <c r="F17" s="5" t="s">
        <v>197</v>
      </c>
      <c r="G17" s="5" t="s">
        <v>198</v>
      </c>
      <c r="H17" s="5" t="s">
        <v>199</v>
      </c>
      <c r="I17" s="5" t="s">
        <v>305</v>
      </c>
      <c r="J17" s="5" t="s">
        <v>194</v>
      </c>
      <c r="K17" s="6">
        <v>8.23</v>
      </c>
      <c r="L17" s="13">
        <f t="shared" si="0"/>
        <v>8.23</v>
      </c>
      <c r="M17" s="7"/>
    </row>
    <row r="18" spans="1:13">
      <c r="A18" s="16" t="s">
        <v>379</v>
      </c>
      <c r="B18" s="3" t="s">
        <v>75</v>
      </c>
      <c r="C18" s="3" t="s">
        <v>76</v>
      </c>
      <c r="D18" s="3">
        <v>10</v>
      </c>
      <c r="E18" s="3" t="s">
        <v>11</v>
      </c>
      <c r="F18" s="5" t="s">
        <v>77</v>
      </c>
      <c r="G18" s="5" t="s">
        <v>78</v>
      </c>
      <c r="H18" s="5" t="s">
        <v>79</v>
      </c>
      <c r="I18" s="5" t="s">
        <v>80</v>
      </c>
      <c r="J18" s="5" t="s">
        <v>81</v>
      </c>
      <c r="K18" s="6">
        <v>2.2749999999999999</v>
      </c>
      <c r="L18" s="13">
        <f t="shared" si="0"/>
        <v>22.75</v>
      </c>
      <c r="M18" s="7"/>
    </row>
    <row r="19" spans="1:13">
      <c r="A19" s="16" t="s">
        <v>380</v>
      </c>
      <c r="B19" s="3" t="s">
        <v>75</v>
      </c>
      <c r="C19" s="3" t="s">
        <v>82</v>
      </c>
      <c r="D19" s="3">
        <v>5</v>
      </c>
      <c r="E19" s="3" t="s">
        <v>11</v>
      </c>
      <c r="F19" s="5" t="s">
        <v>83</v>
      </c>
      <c r="G19" s="5" t="s">
        <v>84</v>
      </c>
      <c r="H19" s="5" t="s">
        <v>85</v>
      </c>
      <c r="I19" s="5" t="s">
        <v>86</v>
      </c>
      <c r="J19" s="5" t="s">
        <v>87</v>
      </c>
      <c r="K19" s="6">
        <v>0.61</v>
      </c>
      <c r="L19" s="13">
        <f t="shared" si="0"/>
        <v>3.05</v>
      </c>
      <c r="M19" s="7"/>
    </row>
    <row r="20" spans="1:13">
      <c r="A20" s="16" t="s">
        <v>381</v>
      </c>
      <c r="B20" s="3" t="s">
        <v>88</v>
      </c>
      <c r="C20" s="3" t="s">
        <v>89</v>
      </c>
      <c r="D20" s="3">
        <v>3</v>
      </c>
      <c r="E20" s="3" t="s">
        <v>11</v>
      </c>
      <c r="F20" s="5" t="s">
        <v>90</v>
      </c>
      <c r="G20" s="5" t="s">
        <v>91</v>
      </c>
      <c r="H20" s="5" t="s">
        <v>92</v>
      </c>
      <c r="I20" s="5" t="s">
        <v>93</v>
      </c>
      <c r="J20" s="5" t="s">
        <v>94</v>
      </c>
      <c r="K20" s="6">
        <v>0.98</v>
      </c>
      <c r="L20" s="13">
        <f t="shared" si="0"/>
        <v>2.94</v>
      </c>
      <c r="M20" s="7"/>
    </row>
    <row r="21" spans="1:13">
      <c r="A21" s="16" t="s">
        <v>382</v>
      </c>
      <c r="B21" s="3" t="s">
        <v>88</v>
      </c>
      <c r="C21" s="3" t="s">
        <v>95</v>
      </c>
      <c r="D21" s="3">
        <v>50</v>
      </c>
      <c r="E21" s="3" t="s">
        <v>11</v>
      </c>
      <c r="F21" s="5" t="s">
        <v>96</v>
      </c>
      <c r="G21" s="5" t="s">
        <v>97</v>
      </c>
      <c r="H21" s="5" t="s">
        <v>98</v>
      </c>
      <c r="I21" s="5" t="s">
        <v>99</v>
      </c>
      <c r="J21" s="5" t="s">
        <v>100</v>
      </c>
      <c r="K21" s="6">
        <v>7.2999999999999995E-2</v>
      </c>
      <c r="L21" s="13">
        <f t="shared" si="0"/>
        <v>3.65</v>
      </c>
      <c r="M21" s="7"/>
    </row>
    <row r="22" spans="1:13">
      <c r="A22" s="16" t="s">
        <v>383</v>
      </c>
      <c r="B22" s="3" t="s">
        <v>101</v>
      </c>
      <c r="C22" s="3" t="s">
        <v>102</v>
      </c>
      <c r="D22" s="3">
        <v>10</v>
      </c>
      <c r="E22" s="3" t="s">
        <v>11</v>
      </c>
      <c r="F22" s="5" t="s">
        <v>103</v>
      </c>
      <c r="G22" s="5" t="s">
        <v>104</v>
      </c>
      <c r="H22" s="5" t="s">
        <v>105</v>
      </c>
      <c r="I22" s="5" t="s">
        <v>106</v>
      </c>
      <c r="J22" s="5" t="s">
        <v>107</v>
      </c>
      <c r="K22" s="6">
        <v>0.17299999999999999</v>
      </c>
      <c r="L22" s="13">
        <f t="shared" si="0"/>
        <v>1.73</v>
      </c>
      <c r="M22" s="7"/>
    </row>
    <row r="23" spans="1:13">
      <c r="A23" s="16" t="s">
        <v>384</v>
      </c>
      <c r="B23" s="3" t="s">
        <v>101</v>
      </c>
      <c r="C23" s="3" t="s">
        <v>108</v>
      </c>
      <c r="D23" s="3">
        <v>10</v>
      </c>
      <c r="E23" s="3" t="s">
        <v>11</v>
      </c>
      <c r="F23" s="7" t="s">
        <v>172</v>
      </c>
      <c r="G23" s="5" t="s">
        <v>171</v>
      </c>
      <c r="H23" s="5" t="s">
        <v>170</v>
      </c>
      <c r="I23" s="5" t="s">
        <v>174</v>
      </c>
      <c r="J23" s="5" t="s">
        <v>173</v>
      </c>
      <c r="K23" s="6">
        <v>0.183</v>
      </c>
      <c r="L23" s="13">
        <f t="shared" si="0"/>
        <v>1.83</v>
      </c>
      <c r="M23" s="5"/>
    </row>
    <row r="24" spans="1:13">
      <c r="A24" s="16" t="s">
        <v>385</v>
      </c>
      <c r="B24" s="3" t="s">
        <v>109</v>
      </c>
      <c r="C24" s="3" t="s">
        <v>110</v>
      </c>
      <c r="D24" s="3">
        <v>10</v>
      </c>
      <c r="E24" s="3" t="s">
        <v>11</v>
      </c>
      <c r="F24" s="5" t="s">
        <v>111</v>
      </c>
      <c r="G24" s="5" t="s">
        <v>112</v>
      </c>
      <c r="H24" s="5" t="s">
        <v>113</v>
      </c>
      <c r="I24" s="5" t="s">
        <v>114</v>
      </c>
      <c r="J24" s="5" t="s">
        <v>115</v>
      </c>
      <c r="K24" s="6">
        <v>0.69</v>
      </c>
      <c r="L24" s="13">
        <f t="shared" si="0"/>
        <v>6.8999999999999995</v>
      </c>
      <c r="M24" s="7"/>
    </row>
    <row r="25" spans="1:13">
      <c r="A25" s="16" t="s">
        <v>386</v>
      </c>
      <c r="B25" s="3" t="s">
        <v>109</v>
      </c>
      <c r="C25" s="3" t="s">
        <v>116</v>
      </c>
      <c r="D25" s="3">
        <v>10</v>
      </c>
      <c r="E25" s="3" t="s">
        <v>11</v>
      </c>
      <c r="F25" s="5" t="s">
        <v>117</v>
      </c>
      <c r="G25" s="5" t="s">
        <v>112</v>
      </c>
      <c r="H25" s="5" t="s">
        <v>118</v>
      </c>
      <c r="I25" s="5" t="s">
        <v>119</v>
      </c>
      <c r="J25" s="5" t="s">
        <v>120</v>
      </c>
      <c r="K25" s="6">
        <v>1.0900000000000001</v>
      </c>
      <c r="L25" s="13">
        <f t="shared" si="0"/>
        <v>10.9</v>
      </c>
      <c r="M25" s="7"/>
    </row>
    <row r="26" spans="1:13">
      <c r="A26" s="16" t="s">
        <v>347</v>
      </c>
      <c r="B26" s="3" t="s">
        <v>121</v>
      </c>
      <c r="C26" s="3" t="s">
        <v>310</v>
      </c>
      <c r="D26" s="3">
        <v>2</v>
      </c>
      <c r="E26" s="3" t="s">
        <v>11</v>
      </c>
      <c r="F26" s="5" t="s">
        <v>308</v>
      </c>
      <c r="G26" s="5" t="s">
        <v>122</v>
      </c>
      <c r="H26" s="5" t="s">
        <v>309</v>
      </c>
      <c r="I26" s="5" t="s">
        <v>123</v>
      </c>
      <c r="J26" s="5" t="s">
        <v>307</v>
      </c>
      <c r="K26" s="6">
        <v>6.29</v>
      </c>
      <c r="L26" s="13">
        <f t="shared" si="0"/>
        <v>12.58</v>
      </c>
      <c r="M26" s="7"/>
    </row>
    <row r="27" spans="1:13">
      <c r="A27" s="16" t="s">
        <v>387</v>
      </c>
      <c r="B27" s="3" t="s">
        <v>121</v>
      </c>
      <c r="C27" s="3" t="s">
        <v>322</v>
      </c>
      <c r="D27" s="3" t="s">
        <v>323</v>
      </c>
      <c r="E27" s="3" t="s">
        <v>11</v>
      </c>
      <c r="F27" s="5" t="s">
        <v>311</v>
      </c>
      <c r="G27" s="5" t="s">
        <v>122</v>
      </c>
      <c r="H27" s="5" t="s">
        <v>312</v>
      </c>
      <c r="I27" s="5" t="s">
        <v>124</v>
      </c>
      <c r="J27" s="5" t="s">
        <v>313</v>
      </c>
      <c r="K27" s="6">
        <v>6.29</v>
      </c>
      <c r="L27" s="13">
        <f t="shared" si="0"/>
        <v>12.58</v>
      </c>
      <c r="M27" s="7"/>
    </row>
    <row r="28" spans="1:13">
      <c r="A28" s="16" t="s">
        <v>388</v>
      </c>
      <c r="B28" s="3" t="s">
        <v>121</v>
      </c>
      <c r="C28" s="3" t="s">
        <v>321</v>
      </c>
      <c r="D28" s="3" t="s">
        <v>323</v>
      </c>
      <c r="E28" s="3" t="s">
        <v>11</v>
      </c>
      <c r="F28" s="5" t="s">
        <v>314</v>
      </c>
      <c r="G28" s="5" t="s">
        <v>122</v>
      </c>
      <c r="H28" s="5" t="s">
        <v>315</v>
      </c>
      <c r="I28" s="5" t="s">
        <v>123</v>
      </c>
      <c r="J28" s="5" t="s">
        <v>316</v>
      </c>
      <c r="K28" s="6">
        <v>6.29</v>
      </c>
      <c r="L28" s="13">
        <f t="shared" si="0"/>
        <v>12.58</v>
      </c>
      <c r="M28" s="7"/>
    </row>
    <row r="29" spans="1:13">
      <c r="A29" s="16" t="s">
        <v>389</v>
      </c>
      <c r="B29" s="3" t="s">
        <v>121</v>
      </c>
      <c r="C29" s="3" t="s">
        <v>320</v>
      </c>
      <c r="D29" s="3" t="s">
        <v>323</v>
      </c>
      <c r="E29" s="3" t="s">
        <v>11</v>
      </c>
      <c r="F29" s="5" t="s">
        <v>318</v>
      </c>
      <c r="G29" s="5" t="s">
        <v>122</v>
      </c>
      <c r="H29" s="5" t="s">
        <v>319</v>
      </c>
      <c r="I29" s="5" t="s">
        <v>124</v>
      </c>
      <c r="J29" s="5" t="s">
        <v>317</v>
      </c>
      <c r="K29" s="6">
        <v>6.29</v>
      </c>
      <c r="L29" s="13">
        <f t="shared" si="0"/>
        <v>12.58</v>
      </c>
      <c r="M29" s="7"/>
    </row>
    <row r="30" spans="1:13">
      <c r="A30" s="16" t="s">
        <v>390</v>
      </c>
      <c r="B30" s="3" t="s">
        <v>155</v>
      </c>
      <c r="C30" s="3" t="s">
        <v>156</v>
      </c>
      <c r="D30" s="3">
        <v>10</v>
      </c>
      <c r="E30" s="3" t="s">
        <v>11</v>
      </c>
      <c r="F30" s="5" t="s">
        <v>175</v>
      </c>
      <c r="G30" s="5" t="s">
        <v>176</v>
      </c>
      <c r="H30" s="5">
        <v>431167281</v>
      </c>
      <c r="I30" s="5" t="s">
        <v>177</v>
      </c>
      <c r="J30" s="5" t="s">
        <v>157</v>
      </c>
      <c r="K30" s="6">
        <v>1.792</v>
      </c>
      <c r="L30" s="13">
        <f>K30*D30</f>
        <v>17.920000000000002</v>
      </c>
      <c r="M30" s="7"/>
    </row>
    <row r="31" spans="1:13">
      <c r="A31" s="16" t="s">
        <v>391</v>
      </c>
      <c r="B31" s="3" t="s">
        <v>131</v>
      </c>
      <c r="C31" s="3" t="s">
        <v>178</v>
      </c>
      <c r="D31" s="3">
        <v>25</v>
      </c>
      <c r="E31" s="3" t="s">
        <v>11</v>
      </c>
      <c r="F31" s="5" t="s">
        <v>179</v>
      </c>
      <c r="G31" s="5" t="s">
        <v>180</v>
      </c>
      <c r="H31" s="5" t="s">
        <v>181</v>
      </c>
      <c r="I31" s="5" t="s">
        <v>325</v>
      </c>
      <c r="J31" s="5" t="s">
        <v>182</v>
      </c>
      <c r="K31" s="6">
        <v>2.9336000000000002</v>
      </c>
      <c r="L31" s="13">
        <f t="shared" si="0"/>
        <v>73.34</v>
      </c>
      <c r="M31" s="7"/>
    </row>
    <row r="32" spans="1:13">
      <c r="A32" s="16" t="s">
        <v>392</v>
      </c>
      <c r="B32" s="3" t="s">
        <v>133</v>
      </c>
      <c r="C32" s="3" t="s">
        <v>134</v>
      </c>
      <c r="D32" s="3">
        <v>1</v>
      </c>
      <c r="E32" s="3" t="s">
        <v>11</v>
      </c>
      <c r="F32" s="5" t="s">
        <v>135</v>
      </c>
      <c r="G32" s="5" t="s">
        <v>136</v>
      </c>
      <c r="H32" s="5" t="s">
        <v>137</v>
      </c>
      <c r="I32" s="5" t="s">
        <v>138</v>
      </c>
      <c r="J32" s="5" t="s">
        <v>139</v>
      </c>
      <c r="K32" s="6">
        <v>8.31</v>
      </c>
      <c r="L32" s="13">
        <f t="shared" si="0"/>
        <v>8.31</v>
      </c>
      <c r="M32" s="7"/>
    </row>
    <row r="33" spans="1:13">
      <c r="A33" s="16" t="s">
        <v>393</v>
      </c>
      <c r="B33" s="3" t="s">
        <v>183</v>
      </c>
      <c r="C33" s="4" t="s">
        <v>185</v>
      </c>
      <c r="D33" s="3">
        <v>10</v>
      </c>
      <c r="E33" s="3" t="s">
        <v>11</v>
      </c>
      <c r="F33" s="7" t="s">
        <v>187</v>
      </c>
      <c r="G33" s="5" t="s">
        <v>184</v>
      </c>
      <c r="H33" s="7" t="s">
        <v>188</v>
      </c>
      <c r="I33" s="5" t="s">
        <v>186</v>
      </c>
      <c r="J33" s="7" t="s">
        <v>189</v>
      </c>
      <c r="K33" s="6">
        <v>3.371</v>
      </c>
      <c r="L33" s="13">
        <f t="shared" si="0"/>
        <v>33.71</v>
      </c>
      <c r="M33" s="7"/>
    </row>
    <row r="34" spans="1:13">
      <c r="A34" s="16" t="s">
        <v>394</v>
      </c>
      <c r="B34" s="3" t="s">
        <v>250</v>
      </c>
      <c r="C34" s="3" t="s">
        <v>251</v>
      </c>
      <c r="D34" s="3">
        <v>2</v>
      </c>
      <c r="E34" s="3" t="s">
        <v>11</v>
      </c>
      <c r="F34" s="3" t="s">
        <v>252</v>
      </c>
      <c r="G34" s="3" t="s">
        <v>74</v>
      </c>
      <c r="H34" s="3" t="s">
        <v>253</v>
      </c>
      <c r="I34" s="3" t="s">
        <v>255</v>
      </c>
      <c r="J34" s="3" t="s">
        <v>254</v>
      </c>
      <c r="K34" s="6">
        <v>3.09</v>
      </c>
      <c r="L34" s="13">
        <f t="shared" si="0"/>
        <v>6.18</v>
      </c>
      <c r="M34" s="7"/>
    </row>
    <row r="35" spans="1:13">
      <c r="A35" s="16" t="s">
        <v>395</v>
      </c>
      <c r="B35" s="3" t="s">
        <v>257</v>
      </c>
      <c r="C35" s="3" t="s">
        <v>258</v>
      </c>
      <c r="D35" s="3">
        <v>5</v>
      </c>
      <c r="E35" s="3" t="s">
        <v>11</v>
      </c>
      <c r="F35" s="3" t="s">
        <v>259</v>
      </c>
      <c r="G35" s="3" t="s">
        <v>260</v>
      </c>
      <c r="H35" s="3" t="s">
        <v>261</v>
      </c>
      <c r="I35" s="3" t="s">
        <v>262</v>
      </c>
      <c r="J35" s="7" t="s">
        <v>256</v>
      </c>
      <c r="K35" s="6">
        <v>5.33</v>
      </c>
      <c r="L35" s="13">
        <f t="shared" si="0"/>
        <v>26.65</v>
      </c>
      <c r="M35" s="7"/>
    </row>
    <row r="36" spans="1:13">
      <c r="A36" s="16" t="s">
        <v>396</v>
      </c>
      <c r="B36" s="3" t="s">
        <v>257</v>
      </c>
      <c r="C36" s="3" t="s">
        <v>264</v>
      </c>
      <c r="D36" s="3">
        <v>10</v>
      </c>
      <c r="E36" s="3" t="s">
        <v>11</v>
      </c>
      <c r="F36" s="3" t="s">
        <v>265</v>
      </c>
      <c r="G36" s="3" t="s">
        <v>78</v>
      </c>
      <c r="H36" s="3" t="s">
        <v>266</v>
      </c>
      <c r="I36" s="3" t="s">
        <v>267</v>
      </c>
      <c r="J36" s="3" t="s">
        <v>263</v>
      </c>
      <c r="K36" s="6">
        <v>0.33200000000000002</v>
      </c>
      <c r="L36" s="13">
        <f t="shared" si="0"/>
        <v>3.3200000000000003</v>
      </c>
      <c r="M36" s="7"/>
    </row>
    <row r="37" spans="1:13">
      <c r="A37" s="16" t="s">
        <v>397</v>
      </c>
      <c r="B37" s="3" t="s">
        <v>257</v>
      </c>
      <c r="C37" s="3" t="s">
        <v>277</v>
      </c>
      <c r="D37" s="3">
        <v>10</v>
      </c>
      <c r="E37" s="3" t="s">
        <v>278</v>
      </c>
      <c r="F37" s="7" t="s">
        <v>275</v>
      </c>
      <c r="G37" s="7" t="s">
        <v>78</v>
      </c>
      <c r="H37" s="7" t="s">
        <v>276</v>
      </c>
      <c r="I37" s="3" t="s">
        <v>274</v>
      </c>
      <c r="J37" s="7" t="s">
        <v>273</v>
      </c>
      <c r="K37" s="6">
        <v>0.33200000000000002</v>
      </c>
      <c r="L37" s="13">
        <f t="shared" si="0"/>
        <v>3.3200000000000003</v>
      </c>
      <c r="M37" s="7"/>
    </row>
    <row r="38" spans="1:13">
      <c r="A38" s="16" t="s">
        <v>398</v>
      </c>
      <c r="B38" s="3" t="s">
        <v>268</v>
      </c>
      <c r="C38" s="3" t="s">
        <v>269</v>
      </c>
      <c r="D38" s="3">
        <v>10</v>
      </c>
      <c r="E38" s="3" t="s">
        <v>11</v>
      </c>
      <c r="F38" s="3" t="s">
        <v>270</v>
      </c>
      <c r="G38" s="3" t="s">
        <v>78</v>
      </c>
      <c r="H38" s="3" t="s">
        <v>271</v>
      </c>
      <c r="I38" s="3" t="s">
        <v>272</v>
      </c>
      <c r="J38" s="7" t="s">
        <v>279</v>
      </c>
      <c r="K38" s="6">
        <v>0.189</v>
      </c>
      <c r="L38" s="13">
        <f t="shared" si="0"/>
        <v>1.8900000000000001</v>
      </c>
      <c r="M38" s="7"/>
    </row>
    <row r="39" spans="1:13">
      <c r="A39" s="16" t="s">
        <v>399</v>
      </c>
      <c r="B39" s="3" t="s">
        <v>280</v>
      </c>
      <c r="C39" s="3" t="s">
        <v>281</v>
      </c>
      <c r="D39" s="3">
        <v>10</v>
      </c>
      <c r="E39" s="3" t="s">
        <v>11</v>
      </c>
      <c r="F39" s="3" t="s">
        <v>282</v>
      </c>
      <c r="G39" s="3" t="s">
        <v>104</v>
      </c>
      <c r="H39" s="3" t="s">
        <v>283</v>
      </c>
      <c r="I39" s="3" t="s">
        <v>284</v>
      </c>
      <c r="J39" s="7" t="s">
        <v>285</v>
      </c>
      <c r="K39" s="6">
        <v>0.59199999999999997</v>
      </c>
      <c r="L39" s="13">
        <f t="shared" si="0"/>
        <v>5.92</v>
      </c>
      <c r="M39" s="7"/>
    </row>
    <row r="40" spans="1:13">
      <c r="A40" s="16" t="s">
        <v>400</v>
      </c>
      <c r="B40" s="3" t="s">
        <v>423</v>
      </c>
      <c r="C40" s="4" t="s">
        <v>346</v>
      </c>
      <c r="D40" s="3" t="s">
        <v>348</v>
      </c>
      <c r="E40" s="3" t="s">
        <v>278</v>
      </c>
      <c r="F40" s="3" t="s">
        <v>343</v>
      </c>
      <c r="G40" s="3" t="s">
        <v>47</v>
      </c>
      <c r="H40" s="3" t="s">
        <v>345</v>
      </c>
      <c r="I40" s="3"/>
      <c r="J40" s="7" t="s">
        <v>344</v>
      </c>
      <c r="K40" s="15" t="s">
        <v>349</v>
      </c>
      <c r="L40" s="13">
        <f t="shared" si="0"/>
        <v>0.77999999999999992</v>
      </c>
      <c r="M40" s="7"/>
    </row>
    <row r="41" spans="1:13">
      <c r="A41" s="16" t="s">
        <v>401</v>
      </c>
      <c r="B41" s="3" t="s">
        <v>423</v>
      </c>
      <c r="C41" s="3" t="s">
        <v>357</v>
      </c>
      <c r="D41" s="3" t="s">
        <v>356</v>
      </c>
      <c r="E41" s="3" t="s">
        <v>11</v>
      </c>
      <c r="F41" s="3" t="s">
        <v>350</v>
      </c>
      <c r="G41" s="3" t="s">
        <v>351</v>
      </c>
      <c r="H41" s="3" t="s">
        <v>352</v>
      </c>
      <c r="I41" s="3"/>
      <c r="J41" s="7" t="s">
        <v>353</v>
      </c>
      <c r="K41" s="15" t="s">
        <v>354</v>
      </c>
      <c r="L41" s="13">
        <f t="shared" si="0"/>
        <v>8.6900000000000013</v>
      </c>
      <c r="M41" s="7"/>
    </row>
    <row r="42" spans="1:13">
      <c r="A42" s="16" t="s">
        <v>402</v>
      </c>
      <c r="B42" s="3" t="s">
        <v>423</v>
      </c>
      <c r="C42" s="3" t="s">
        <v>359</v>
      </c>
      <c r="D42" s="3" t="s">
        <v>356</v>
      </c>
      <c r="E42" s="3" t="s">
        <v>11</v>
      </c>
      <c r="F42" s="3" t="s">
        <v>361</v>
      </c>
      <c r="G42" s="3" t="s">
        <v>358</v>
      </c>
      <c r="H42" s="3" t="s">
        <v>362</v>
      </c>
      <c r="I42" s="3"/>
      <c r="J42" s="7" t="s">
        <v>363</v>
      </c>
      <c r="K42" s="15" t="s">
        <v>360</v>
      </c>
      <c r="L42" s="13">
        <f t="shared" si="0"/>
        <v>10.42</v>
      </c>
      <c r="M42" s="7"/>
    </row>
    <row r="43" spans="1:13">
      <c r="A43" s="16" t="s">
        <v>403</v>
      </c>
      <c r="B43" s="3" t="s">
        <v>125</v>
      </c>
      <c r="C43" s="3" t="s">
        <v>126</v>
      </c>
      <c r="D43" s="3">
        <v>30</v>
      </c>
      <c r="E43" s="3" t="s">
        <v>127</v>
      </c>
      <c r="F43" s="5" t="s">
        <v>128</v>
      </c>
      <c r="G43" s="5" t="s">
        <v>127</v>
      </c>
      <c r="H43" s="1">
        <v>2138</v>
      </c>
      <c r="I43" s="5" t="s">
        <v>129</v>
      </c>
      <c r="J43" s="5" t="s">
        <v>130</v>
      </c>
      <c r="K43" s="6">
        <v>0.86</v>
      </c>
      <c r="L43" s="13">
        <f t="shared" ref="L43:L48" si="1">K43*D43</f>
        <v>25.8</v>
      </c>
      <c r="M43" s="7"/>
    </row>
    <row r="44" spans="1:13">
      <c r="A44" s="16" t="s">
        <v>404</v>
      </c>
      <c r="B44" s="3" t="s">
        <v>140</v>
      </c>
      <c r="C44" s="3" t="s">
        <v>141</v>
      </c>
      <c r="D44" s="3">
        <v>5</v>
      </c>
      <c r="E44" s="3" t="s">
        <v>127</v>
      </c>
      <c r="F44" s="5" t="s">
        <v>142</v>
      </c>
      <c r="G44" s="5" t="s">
        <v>127</v>
      </c>
      <c r="H44" s="1">
        <v>2185</v>
      </c>
      <c r="I44" s="5" t="s">
        <v>143</v>
      </c>
      <c r="J44" s="5" t="s">
        <v>144</v>
      </c>
      <c r="K44" s="6">
        <v>4.95</v>
      </c>
      <c r="L44" s="13">
        <f t="shared" si="1"/>
        <v>24.75</v>
      </c>
      <c r="M44" s="7"/>
    </row>
    <row r="45" spans="1:13">
      <c r="A45" s="16" t="s">
        <v>405</v>
      </c>
      <c r="B45" s="3" t="s">
        <v>292</v>
      </c>
      <c r="C45" s="3" t="s">
        <v>159</v>
      </c>
      <c r="D45" s="3">
        <v>5</v>
      </c>
      <c r="E45" s="3" t="s">
        <v>160</v>
      </c>
      <c r="F45" s="5" t="s">
        <v>161</v>
      </c>
      <c r="G45" s="5" t="s">
        <v>127</v>
      </c>
      <c r="H45" s="7">
        <v>6121</v>
      </c>
      <c r="I45" s="7" t="s">
        <v>306</v>
      </c>
      <c r="J45" s="7" t="s">
        <v>158</v>
      </c>
      <c r="K45" s="6">
        <v>8.9499999999999993</v>
      </c>
      <c r="L45" s="13">
        <f t="shared" si="1"/>
        <v>44.75</v>
      </c>
      <c r="M45" s="7"/>
    </row>
    <row r="46" spans="1:13">
      <c r="A46" s="16" t="s">
        <v>406</v>
      </c>
      <c r="B46" s="3" t="s">
        <v>145</v>
      </c>
      <c r="C46" s="3" t="s">
        <v>146</v>
      </c>
      <c r="D46" s="3">
        <v>1</v>
      </c>
      <c r="E46" s="3" t="s">
        <v>127</v>
      </c>
      <c r="F46" s="5" t="s">
        <v>147</v>
      </c>
      <c r="G46" s="5" t="s">
        <v>127</v>
      </c>
      <c r="H46" s="1">
        <v>3175</v>
      </c>
      <c r="I46" s="5" t="s">
        <v>148</v>
      </c>
      <c r="J46" s="5" t="s">
        <v>149</v>
      </c>
      <c r="K46" s="6">
        <v>29.95</v>
      </c>
      <c r="L46" s="13">
        <f t="shared" si="1"/>
        <v>29.95</v>
      </c>
      <c r="M46" s="7"/>
    </row>
    <row r="47" spans="1:13">
      <c r="A47" s="16" t="s">
        <v>407</v>
      </c>
      <c r="B47" s="3" t="s">
        <v>150</v>
      </c>
      <c r="C47" s="3" t="s">
        <v>151</v>
      </c>
      <c r="D47" s="3">
        <v>1</v>
      </c>
      <c r="E47" s="3" t="s">
        <v>127</v>
      </c>
      <c r="F47" s="5" t="s">
        <v>152</v>
      </c>
      <c r="G47" s="5" t="s">
        <v>127</v>
      </c>
      <c r="H47" s="1">
        <v>3174</v>
      </c>
      <c r="I47" s="5" t="s">
        <v>153</v>
      </c>
      <c r="J47" s="5" t="s">
        <v>154</v>
      </c>
      <c r="K47" s="6">
        <v>29.95</v>
      </c>
      <c r="L47" s="13">
        <f t="shared" si="1"/>
        <v>29.95</v>
      </c>
      <c r="M47" s="7"/>
    </row>
    <row r="48" spans="1:13">
      <c r="A48" s="16" t="s">
        <v>408</v>
      </c>
      <c r="B48" s="3" t="s">
        <v>200</v>
      </c>
      <c r="C48" s="3" t="s">
        <v>201</v>
      </c>
      <c r="D48" s="3">
        <v>1</v>
      </c>
      <c r="E48" s="3" t="s">
        <v>127</v>
      </c>
      <c r="F48" s="5" t="s">
        <v>202</v>
      </c>
      <c r="G48" s="5" t="s">
        <v>127</v>
      </c>
      <c r="H48" s="7">
        <v>5253</v>
      </c>
      <c r="I48" s="5" t="s">
        <v>132</v>
      </c>
      <c r="J48" s="7" t="s">
        <v>203</v>
      </c>
      <c r="K48" s="6">
        <v>29.95</v>
      </c>
      <c r="L48" s="13">
        <f t="shared" si="1"/>
        <v>29.95</v>
      </c>
      <c r="M48" s="7"/>
    </row>
    <row r="49" spans="1:13" ht="17.25">
      <c r="A49" s="16" t="s">
        <v>409</v>
      </c>
      <c r="B49" s="4" t="s">
        <v>292</v>
      </c>
      <c r="C49" s="4" t="s">
        <v>206</v>
      </c>
      <c r="D49" s="4">
        <v>1</v>
      </c>
      <c r="E49" s="10" t="s">
        <v>204</v>
      </c>
      <c r="F49" s="8" t="s">
        <v>233</v>
      </c>
      <c r="G49" s="7" t="s">
        <v>204</v>
      </c>
      <c r="H49" s="8" t="s">
        <v>233</v>
      </c>
      <c r="I49" s="7" t="s">
        <v>205</v>
      </c>
      <c r="J49" s="4" t="s">
        <v>220</v>
      </c>
      <c r="K49" s="7">
        <v>6.99</v>
      </c>
      <c r="L49" s="13">
        <f t="shared" ref="L49:L63" si="2">K49*D49</f>
        <v>6.99</v>
      </c>
      <c r="M49" s="7"/>
    </row>
    <row r="50" spans="1:13" ht="17.25">
      <c r="A50" s="16" t="s">
        <v>410</v>
      </c>
      <c r="B50" s="4" t="s">
        <v>292</v>
      </c>
      <c r="C50" s="4" t="s">
        <v>208</v>
      </c>
      <c r="D50" s="4">
        <v>2</v>
      </c>
      <c r="E50" s="10" t="s">
        <v>204</v>
      </c>
      <c r="F50" s="8" t="s">
        <v>236</v>
      </c>
      <c r="G50" s="7" t="s">
        <v>204</v>
      </c>
      <c r="H50" s="8" t="s">
        <v>236</v>
      </c>
      <c r="I50" s="7" t="s">
        <v>207</v>
      </c>
      <c r="J50" s="7" t="s">
        <v>221</v>
      </c>
      <c r="K50" s="7">
        <v>3.99</v>
      </c>
      <c r="L50" s="13">
        <f t="shared" si="2"/>
        <v>7.98</v>
      </c>
      <c r="M50" s="7"/>
    </row>
    <row r="51" spans="1:13" ht="17.25">
      <c r="A51" s="16" t="s">
        <v>355</v>
      </c>
      <c r="B51" s="4" t="s">
        <v>292</v>
      </c>
      <c r="C51" s="4" t="s">
        <v>227</v>
      </c>
      <c r="D51" s="4">
        <v>1</v>
      </c>
      <c r="E51" s="10" t="s">
        <v>204</v>
      </c>
      <c r="F51" s="8" t="s">
        <v>235</v>
      </c>
      <c r="G51" s="7" t="s">
        <v>204</v>
      </c>
      <c r="H51" s="8" t="s">
        <v>235</v>
      </c>
      <c r="I51" s="7" t="s">
        <v>229</v>
      </c>
      <c r="J51" s="7" t="s">
        <v>228</v>
      </c>
      <c r="K51" s="7">
        <v>6.59</v>
      </c>
      <c r="L51" s="13">
        <f t="shared" si="2"/>
        <v>6.59</v>
      </c>
      <c r="M51" s="7"/>
    </row>
    <row r="52" spans="1:13" ht="17.25">
      <c r="A52" s="16" t="s">
        <v>411</v>
      </c>
      <c r="B52" s="4" t="s">
        <v>292</v>
      </c>
      <c r="C52" s="4" t="s">
        <v>230</v>
      </c>
      <c r="D52" s="4">
        <v>1</v>
      </c>
      <c r="E52" s="10" t="s">
        <v>204</v>
      </c>
      <c r="F52" s="8" t="s">
        <v>234</v>
      </c>
      <c r="G52" s="7" t="s">
        <v>204</v>
      </c>
      <c r="H52" s="8" t="s">
        <v>234</v>
      </c>
      <c r="I52" s="7" t="s">
        <v>232</v>
      </c>
      <c r="J52" s="7" t="s">
        <v>231</v>
      </c>
      <c r="K52" s="7">
        <v>7.79</v>
      </c>
      <c r="L52" s="13">
        <f t="shared" si="2"/>
        <v>7.79</v>
      </c>
      <c r="M52" s="7"/>
    </row>
    <row r="53" spans="1:13" ht="17.25">
      <c r="A53" s="16" t="s">
        <v>412</v>
      </c>
      <c r="B53" s="4" t="s">
        <v>292</v>
      </c>
      <c r="C53" s="4" t="s">
        <v>286</v>
      </c>
      <c r="D53" s="4">
        <v>1</v>
      </c>
      <c r="E53" s="10" t="s">
        <v>204</v>
      </c>
      <c r="F53" s="8" t="s">
        <v>287</v>
      </c>
      <c r="G53" s="7" t="s">
        <v>204</v>
      </c>
      <c r="H53" s="8" t="s">
        <v>287</v>
      </c>
      <c r="I53" s="4" t="s">
        <v>209</v>
      </c>
      <c r="J53" s="7"/>
      <c r="K53" s="7">
        <v>5.39</v>
      </c>
      <c r="L53" s="13">
        <f t="shared" si="2"/>
        <v>5.39</v>
      </c>
      <c r="M53" s="7"/>
    </row>
    <row r="54" spans="1:13" ht="17.25">
      <c r="A54" s="16" t="s">
        <v>413</v>
      </c>
      <c r="B54" s="4" t="s">
        <v>292</v>
      </c>
      <c r="C54" s="4" t="s">
        <v>211</v>
      </c>
      <c r="D54" s="4">
        <v>1</v>
      </c>
      <c r="E54" s="10" t="s">
        <v>204</v>
      </c>
      <c r="F54" s="8" t="s">
        <v>237</v>
      </c>
      <c r="G54" s="7" t="s">
        <v>204</v>
      </c>
      <c r="H54" s="8" t="s">
        <v>237</v>
      </c>
      <c r="I54" s="7" t="s">
        <v>210</v>
      </c>
      <c r="J54" s="7" t="s">
        <v>222</v>
      </c>
      <c r="K54" s="7">
        <v>3.99</v>
      </c>
      <c r="L54" s="13">
        <f t="shared" si="2"/>
        <v>3.99</v>
      </c>
      <c r="M54" s="7"/>
    </row>
    <row r="55" spans="1:13" ht="17.25">
      <c r="A55" s="16" t="s">
        <v>414</v>
      </c>
      <c r="B55" s="4" t="s">
        <v>292</v>
      </c>
      <c r="C55" s="4" t="s">
        <v>213</v>
      </c>
      <c r="D55" s="4">
        <v>1</v>
      </c>
      <c r="E55" s="10" t="s">
        <v>204</v>
      </c>
      <c r="F55" s="8" t="s">
        <v>238</v>
      </c>
      <c r="G55" s="7" t="s">
        <v>204</v>
      </c>
      <c r="H55" s="8" t="s">
        <v>238</v>
      </c>
      <c r="I55" s="7" t="s">
        <v>212</v>
      </c>
      <c r="J55" s="7" t="s">
        <v>223</v>
      </c>
      <c r="K55" s="7">
        <v>6.99</v>
      </c>
      <c r="L55" s="13">
        <f t="shared" si="2"/>
        <v>6.99</v>
      </c>
      <c r="M55" s="7"/>
    </row>
    <row r="56" spans="1:13" ht="17.25">
      <c r="A56" s="16" t="s">
        <v>415</v>
      </c>
      <c r="B56" s="4" t="s">
        <v>292</v>
      </c>
      <c r="C56" s="4" t="s">
        <v>239</v>
      </c>
      <c r="D56" s="4">
        <v>1</v>
      </c>
      <c r="E56" s="10" t="s">
        <v>204</v>
      </c>
      <c r="F56" s="8" t="s">
        <v>240</v>
      </c>
      <c r="G56" s="7" t="s">
        <v>204</v>
      </c>
      <c r="H56" s="8" t="s">
        <v>240</v>
      </c>
      <c r="I56" s="7" t="s">
        <v>241</v>
      </c>
      <c r="J56" s="7" t="s">
        <v>242</v>
      </c>
      <c r="K56" s="7">
        <v>8.99</v>
      </c>
      <c r="L56" s="13">
        <f t="shared" si="2"/>
        <v>8.99</v>
      </c>
      <c r="M56" s="7"/>
    </row>
    <row r="57" spans="1:13" ht="17.25">
      <c r="A57" s="16" t="s">
        <v>416</v>
      </c>
      <c r="B57" s="4" t="s">
        <v>292</v>
      </c>
      <c r="C57" s="4" t="s">
        <v>249</v>
      </c>
      <c r="D57" s="4">
        <v>1</v>
      </c>
      <c r="E57" s="10" t="s">
        <v>204</v>
      </c>
      <c r="F57" s="8" t="s">
        <v>244</v>
      </c>
      <c r="G57" s="7" t="s">
        <v>204</v>
      </c>
      <c r="H57" s="8" t="s">
        <v>244</v>
      </c>
      <c r="I57" s="7" t="s">
        <v>243</v>
      </c>
      <c r="J57" s="7" t="s">
        <v>245</v>
      </c>
      <c r="K57" s="7">
        <v>7.99</v>
      </c>
      <c r="L57" s="13">
        <f t="shared" si="2"/>
        <v>7.99</v>
      </c>
      <c r="M57" s="7"/>
    </row>
    <row r="58" spans="1:13">
      <c r="A58" s="16" t="s">
        <v>417</v>
      </c>
      <c r="B58" s="4" t="s">
        <v>292</v>
      </c>
      <c r="C58" s="4" t="s">
        <v>215</v>
      </c>
      <c r="D58" s="4">
        <v>1</v>
      </c>
      <c r="E58" s="10" t="s">
        <v>204</v>
      </c>
      <c r="F58" s="7" t="s">
        <v>246</v>
      </c>
      <c r="G58" s="7" t="s">
        <v>204</v>
      </c>
      <c r="H58" s="7" t="s">
        <v>246</v>
      </c>
      <c r="I58" s="7" t="s">
        <v>214</v>
      </c>
      <c r="J58" s="7" t="s">
        <v>224</v>
      </c>
      <c r="K58" s="7">
        <v>12.99</v>
      </c>
      <c r="L58" s="13">
        <f t="shared" si="2"/>
        <v>12.99</v>
      </c>
      <c r="M58" s="7"/>
    </row>
    <row r="59" spans="1:13">
      <c r="A59" s="16" t="s">
        <v>418</v>
      </c>
      <c r="B59" s="4" t="s">
        <v>292</v>
      </c>
      <c r="C59" s="4" t="s">
        <v>217</v>
      </c>
      <c r="D59" s="4">
        <v>1</v>
      </c>
      <c r="E59" s="10" t="s">
        <v>204</v>
      </c>
      <c r="F59" s="7" t="s">
        <v>247</v>
      </c>
      <c r="G59" s="7" t="s">
        <v>204</v>
      </c>
      <c r="H59" s="7" t="s">
        <v>247</v>
      </c>
      <c r="I59" s="7" t="s">
        <v>216</v>
      </c>
      <c r="J59" s="7" t="s">
        <v>225</v>
      </c>
      <c r="K59" s="7">
        <v>6.99</v>
      </c>
      <c r="L59" s="13">
        <f t="shared" si="2"/>
        <v>6.99</v>
      </c>
      <c r="M59" s="7"/>
    </row>
    <row r="60" spans="1:13">
      <c r="A60" s="16" t="s">
        <v>419</v>
      </c>
      <c r="B60" s="4" t="s">
        <v>292</v>
      </c>
      <c r="C60" s="4" t="s">
        <v>219</v>
      </c>
      <c r="D60" s="4">
        <v>1</v>
      </c>
      <c r="E60" s="10" t="s">
        <v>204</v>
      </c>
      <c r="F60" s="7" t="s">
        <v>248</v>
      </c>
      <c r="G60" s="7" t="s">
        <v>204</v>
      </c>
      <c r="H60" s="7" t="s">
        <v>248</v>
      </c>
      <c r="I60" s="7" t="s">
        <v>218</v>
      </c>
      <c r="J60" s="7" t="s">
        <v>226</v>
      </c>
      <c r="K60" s="7">
        <v>6.99</v>
      </c>
      <c r="L60" s="13">
        <f t="shared" si="2"/>
        <v>6.99</v>
      </c>
      <c r="M60" s="7"/>
    </row>
    <row r="61" spans="1:13" ht="18">
      <c r="A61" s="16" t="s">
        <v>420</v>
      </c>
      <c r="B61" s="4" t="s">
        <v>292</v>
      </c>
      <c r="C61" s="4" t="s">
        <v>291</v>
      </c>
      <c r="D61" s="4">
        <v>2</v>
      </c>
      <c r="E61" s="4" t="s">
        <v>288</v>
      </c>
      <c r="F61" s="9" t="s">
        <v>289</v>
      </c>
      <c r="G61" s="4" t="s">
        <v>288</v>
      </c>
      <c r="H61" s="9" t="s">
        <v>289</v>
      </c>
      <c r="I61" s="7" t="s">
        <v>290</v>
      </c>
      <c r="J61" s="7"/>
      <c r="K61" s="7">
        <v>7.99</v>
      </c>
      <c r="L61" s="13">
        <f t="shared" si="2"/>
        <v>15.98</v>
      </c>
      <c r="M61" s="7"/>
    </row>
    <row r="62" spans="1:13">
      <c r="A62" s="16" t="s">
        <v>421</v>
      </c>
      <c r="B62" s="4" t="s">
        <v>294</v>
      </c>
      <c r="C62" s="4" t="s">
        <v>300</v>
      </c>
      <c r="D62" s="4">
        <v>1</v>
      </c>
      <c r="E62" s="4" t="s">
        <v>295</v>
      </c>
      <c r="F62" s="4" t="s">
        <v>297</v>
      </c>
      <c r="G62" s="4" t="s">
        <v>298</v>
      </c>
      <c r="H62" s="4" t="s">
        <v>297</v>
      </c>
      <c r="I62" s="4" t="s">
        <v>299</v>
      </c>
      <c r="J62" s="4" t="s">
        <v>296</v>
      </c>
      <c r="K62" s="4">
        <v>20.440000000000001</v>
      </c>
      <c r="L62" s="13">
        <f t="shared" si="2"/>
        <v>20.440000000000001</v>
      </c>
    </row>
    <row r="63" spans="1:13">
      <c r="A63" s="16" t="s">
        <v>422</v>
      </c>
      <c r="B63" s="4" t="s">
        <v>294</v>
      </c>
      <c r="C63" s="4" t="s">
        <v>300</v>
      </c>
      <c r="D63" s="4">
        <v>1</v>
      </c>
      <c r="E63" s="4" t="s">
        <v>295</v>
      </c>
      <c r="F63" s="4" t="s">
        <v>302</v>
      </c>
      <c r="G63" s="4" t="s">
        <v>298</v>
      </c>
      <c r="H63" s="4" t="s">
        <v>302</v>
      </c>
      <c r="I63" s="4" t="s">
        <v>301</v>
      </c>
      <c r="J63" s="4" t="s">
        <v>303</v>
      </c>
      <c r="K63" s="4">
        <v>21.82</v>
      </c>
      <c r="L63" s="13">
        <f t="shared" si="2"/>
        <v>21.82</v>
      </c>
    </row>
    <row r="64" spans="1:13">
      <c r="A64" s="3"/>
    </row>
    <row r="65" spans="1:12">
      <c r="A65" s="3"/>
      <c r="K65" s="4" t="s">
        <v>324</v>
      </c>
      <c r="L65" s="14">
        <f>SUM(L2:L63)</f>
        <v>874.03000000000009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Hwang, Changhyun</dc:creator>
  <cp:lastModifiedBy>Hwang, Changhyun</cp:lastModifiedBy>
  <dcterms:created xsi:type="dcterms:W3CDTF">2026-02-02T21:38:12Z</dcterms:created>
  <dcterms:modified xsi:type="dcterms:W3CDTF">2026-02-03T04:29:32Z</dcterms:modified>
</cp:coreProperties>
</file>